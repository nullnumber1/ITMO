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ITMO\Informatics\Lab6\"/>
    </mc:Choice>
  </mc:AlternateContent>
  <xr:revisionPtr revIDLastSave="0" documentId="13_ncr:1_{52B1C9FC-A880-46E9-86C5-1DD3B85DB4A4}" xr6:coauthVersionLast="45" xr6:coauthVersionMax="45" xr10:uidLastSave="{00000000-0000-0000-0000-000000000000}"/>
  <bookViews>
    <workbookView xWindow="-98" yWindow="-98" windowWidth="21795" windowHeight="10921" firstSheet="1" activeTab="2" xr2:uid="{624493D8-6276-4E2E-BDB6-9839492753F5}"/>
  </bookViews>
  <sheets>
    <sheet name="A=3" sheetId="1" r:id="rId1"/>
    <sheet name="Справочник(C=2)" sheetId="2" r:id="rId2"/>
    <sheet name="Расчёт стоимости" sheetId="3" r:id="rId3"/>
    <sheet name="Диаграмма" sheetId="4" r:id="rId4"/>
    <sheet name="Крепёж(D=3)" sheetId="8" r:id="rId5"/>
    <sheet name="Таблица 1(F=2)" sheetId="9" r:id="rId6"/>
    <sheet name="Таблица 2(F=2)" sheetId="10" r:id="rId7"/>
    <sheet name="Макрос(G=4)" sheetId="11" r:id="rId8"/>
    <sheet name="Макрос(G=4) (2)" sheetId="12" r:id="rId9"/>
    <sheet name="Макрос(G=4) (3)" sheetId="13" r:id="rId10"/>
    <sheet name="Макрос(G=4) (4)" sheetId="14" r:id="rId11"/>
    <sheet name="Макрос(G=4) (5)" sheetId="15" r:id="rId12"/>
    <sheet name="Макрос(G=4) (6)" sheetId="16" r:id="rId13"/>
  </sheets>
  <definedNames>
    <definedName name="_xlnm._FilterDatabase" localSheetId="4" hidden="1">'Крепёж(D=3)'!$A$1:$H$16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8" i="3" l="1"/>
  <c r="D18" i="3"/>
  <c r="B3" i="16"/>
  <c r="B4" i="16" s="1"/>
  <c r="C2" i="16"/>
  <c r="E2" i="16" s="1"/>
  <c r="D2" i="16" s="1"/>
  <c r="B3" i="15"/>
  <c r="B4" i="15" s="1"/>
  <c r="C2" i="15"/>
  <c r="E2" i="15" s="1"/>
  <c r="D2" i="15" s="1"/>
  <c r="B3" i="14"/>
  <c r="C2" i="14"/>
  <c r="E2" i="14" s="1"/>
  <c r="D2" i="14" s="1"/>
  <c r="B3" i="13"/>
  <c r="C2" i="13"/>
  <c r="E2" i="13" s="1"/>
  <c r="D2" i="13" s="1"/>
  <c r="B3" i="12"/>
  <c r="C2" i="12"/>
  <c r="E2" i="12" s="1"/>
  <c r="D2" i="12" s="1"/>
  <c r="C3" i="16" l="1"/>
  <c r="E3" i="16" s="1"/>
  <c r="D3" i="16" s="1"/>
  <c r="B5" i="16"/>
  <c r="C4" i="16"/>
  <c r="E4" i="16" s="1"/>
  <c r="D4" i="16" s="1"/>
  <c r="C3" i="15"/>
  <c r="E3" i="15" s="1"/>
  <c r="D3" i="15" s="1"/>
  <c r="B5" i="15"/>
  <c r="C4" i="15"/>
  <c r="E4" i="15" s="1"/>
  <c r="D4" i="15" s="1"/>
  <c r="B4" i="14"/>
  <c r="C3" i="14"/>
  <c r="E3" i="14" s="1"/>
  <c r="D3" i="14" s="1"/>
  <c r="B4" i="13"/>
  <c r="C3" i="13"/>
  <c r="E3" i="13" s="1"/>
  <c r="D3" i="13" s="1"/>
  <c r="B4" i="12"/>
  <c r="C3" i="12"/>
  <c r="E3" i="12" s="1"/>
  <c r="D3" i="12" s="1"/>
  <c r="C2" i="11"/>
  <c r="D2" i="11"/>
  <c r="E2" i="11"/>
  <c r="B3" i="11"/>
  <c r="C3" i="11" s="1"/>
  <c r="B4" i="11"/>
  <c r="C4" i="11" s="1"/>
  <c r="B5" i="11"/>
  <c r="C5" i="11" s="1"/>
  <c r="B6" i="11"/>
  <c r="C6" i="11" s="1"/>
  <c r="B7" i="11"/>
  <c r="C7" i="11" s="1"/>
  <c r="B8" i="11"/>
  <c r="C8" i="11" s="1"/>
  <c r="B9" i="11"/>
  <c r="C9" i="11" s="1"/>
  <c r="B6" i="16" l="1"/>
  <c r="C5" i="16"/>
  <c r="E5" i="16" s="1"/>
  <c r="D5" i="16" s="1"/>
  <c r="B6" i="15"/>
  <c r="C5" i="15"/>
  <c r="E5" i="15" s="1"/>
  <c r="D5" i="15" s="1"/>
  <c r="E4" i="14"/>
  <c r="D4" i="14" s="1"/>
  <c r="C4" i="14"/>
  <c r="B5" i="14"/>
  <c r="E4" i="13"/>
  <c r="D4" i="13" s="1"/>
  <c r="C4" i="13"/>
  <c r="B5" i="13"/>
  <c r="E4" i="12"/>
  <c r="D4" i="12" s="1"/>
  <c r="C4" i="12"/>
  <c r="B5" i="12"/>
  <c r="E9" i="11"/>
  <c r="D9" i="11" s="1"/>
  <c r="E8" i="11"/>
  <c r="D8" i="11" s="1"/>
  <c r="E7" i="11"/>
  <c r="D7" i="11" s="1"/>
  <c r="E6" i="11"/>
  <c r="D6" i="11" s="1"/>
  <c r="E5" i="11"/>
  <c r="D5" i="11" s="1"/>
  <c r="E4" i="11"/>
  <c r="D4" i="11" s="1"/>
  <c r="E3" i="11"/>
  <c r="D3" i="11" s="1"/>
  <c r="B7" i="16" l="1"/>
  <c r="C6" i="16"/>
  <c r="E6" i="16" s="1"/>
  <c r="D6" i="16" s="1"/>
  <c r="B7" i="15"/>
  <c r="C6" i="15"/>
  <c r="E6" i="15" s="1"/>
  <c r="D6" i="15" s="1"/>
  <c r="C5" i="14"/>
  <c r="E5" i="14" s="1"/>
  <c r="D5" i="14" s="1"/>
  <c r="B6" i="14"/>
  <c r="E5" i="13"/>
  <c r="D5" i="13" s="1"/>
  <c r="C5" i="13"/>
  <c r="B6" i="13"/>
  <c r="C5" i="12"/>
  <c r="E5" i="12" s="1"/>
  <c r="D5" i="12" s="1"/>
  <c r="B6" i="12"/>
  <c r="C3" i="9"/>
  <c r="C4" i="9"/>
  <c r="C5" i="9"/>
  <c r="C6" i="9"/>
  <c r="C7" i="9"/>
  <c r="C8" i="9"/>
  <c r="C9" i="9"/>
  <c r="C10" i="9"/>
  <c r="C11" i="9"/>
  <c r="C12" i="9"/>
  <c r="C13" i="9"/>
  <c r="C2" i="9"/>
  <c r="B8" i="16" l="1"/>
  <c r="C7" i="16"/>
  <c r="E7" i="16" s="1"/>
  <c r="D7" i="16" s="1"/>
  <c r="B8" i="15"/>
  <c r="C7" i="15"/>
  <c r="E7" i="15" s="1"/>
  <c r="D7" i="15" s="1"/>
  <c r="C6" i="14"/>
  <c r="E6" i="14" s="1"/>
  <c r="D6" i="14" s="1"/>
  <c r="B7" i="14"/>
  <c r="E6" i="13"/>
  <c r="D6" i="13" s="1"/>
  <c r="C6" i="13"/>
  <c r="B7" i="13"/>
  <c r="C6" i="12"/>
  <c r="E6" i="12" s="1"/>
  <c r="D6" i="12" s="1"/>
  <c r="B7" i="12"/>
  <c r="C14" i="9"/>
  <c r="J10" i="3"/>
  <c r="J11" i="3"/>
  <c r="J12" i="3"/>
  <c r="J13" i="3"/>
  <c r="J14" i="3"/>
  <c r="J15" i="3"/>
  <c r="J9" i="3"/>
  <c r="I10" i="3"/>
  <c r="I11" i="3"/>
  <c r="I12" i="3"/>
  <c r="I13" i="3"/>
  <c r="I14" i="3"/>
  <c r="I15" i="3"/>
  <c r="I9" i="3"/>
  <c r="H10" i="3"/>
  <c r="H11" i="3"/>
  <c r="H12" i="3"/>
  <c r="H13" i="3"/>
  <c r="H14" i="3"/>
  <c r="H15" i="3"/>
  <c r="H9" i="3"/>
  <c r="F10" i="3"/>
  <c r="F11" i="3"/>
  <c r="F12" i="3"/>
  <c r="F13" i="3"/>
  <c r="F14" i="3"/>
  <c r="F15" i="3"/>
  <c r="F9" i="3"/>
  <c r="G10" i="3"/>
  <c r="G11" i="3"/>
  <c r="G12" i="3"/>
  <c r="G13" i="3"/>
  <c r="G14" i="3"/>
  <c r="G15" i="3"/>
  <c r="G9" i="3"/>
  <c r="B9" i="16" l="1"/>
  <c r="C8" i="16"/>
  <c r="E8" i="16" s="1"/>
  <c r="D8" i="16" s="1"/>
  <c r="B9" i="15"/>
  <c r="C8" i="15"/>
  <c r="E8" i="15" s="1"/>
  <c r="D8" i="15" s="1"/>
  <c r="C7" i="14"/>
  <c r="E7" i="14" s="1"/>
  <c r="D7" i="14" s="1"/>
  <c r="B8" i="14"/>
  <c r="E7" i="13"/>
  <c r="D7" i="13" s="1"/>
  <c r="C7" i="13"/>
  <c r="B8" i="13"/>
  <c r="C7" i="12"/>
  <c r="E7" i="12" s="1"/>
  <c r="D7" i="12" s="1"/>
  <c r="B8" i="12"/>
  <c r="C30" i="1"/>
  <c r="B30" i="1"/>
  <c r="C29" i="1"/>
  <c r="B29" i="1"/>
  <c r="C28" i="1"/>
  <c r="B28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11" i="1"/>
  <c r="C9" i="16" l="1"/>
  <c r="E9" i="16" s="1"/>
  <c r="D9" i="16" s="1"/>
  <c r="E9" i="15"/>
  <c r="D9" i="15" s="1"/>
  <c r="C9" i="15"/>
  <c r="C8" i="14"/>
  <c r="E8" i="14" s="1"/>
  <c r="D8" i="14" s="1"/>
  <c r="B9" i="14"/>
  <c r="C8" i="13"/>
  <c r="E8" i="13" s="1"/>
  <c r="D8" i="13" s="1"/>
  <c r="B9" i="13"/>
  <c r="C8" i="12"/>
  <c r="E8" i="12" s="1"/>
  <c r="D8" i="12" s="1"/>
  <c r="B9" i="12"/>
  <c r="C9" i="14" l="1"/>
  <c r="E9" i="14" s="1"/>
  <c r="D9" i="14" s="1"/>
  <c r="C9" i="13"/>
  <c r="E9" i="13" s="1"/>
  <c r="D9" i="13" s="1"/>
  <c r="C9" i="12"/>
  <c r="E9" i="12" s="1"/>
  <c r="D9" i="12" s="1"/>
</calcChain>
</file>

<file path=xl/sharedStrings.xml><?xml version="1.0" encoding="utf-8"?>
<sst xmlns="http://schemas.openxmlformats.org/spreadsheetml/2006/main" count="253" uniqueCount="135">
  <si>
    <t>2,6</t>
  </si>
  <si>
    <t>Расчёт выражения</t>
  </si>
  <si>
    <t>Аргумент X</t>
  </si>
  <si>
    <t>A=1</t>
  </si>
  <si>
    <t>A=10</t>
  </si>
  <si>
    <t xml:space="preserve"> Значение выражения</t>
  </si>
  <si>
    <t>Минимальное значение:</t>
  </si>
  <si>
    <t>Максимальное значение:</t>
  </si>
  <si>
    <t>Шаг изменения:</t>
  </si>
  <si>
    <t>Искомое значение:</t>
  </si>
  <si>
    <t>Максимальное значение выражения</t>
  </si>
  <si>
    <t>Минимальное значение выражения</t>
  </si>
  <si>
    <t>Количество искомых значений</t>
  </si>
  <si>
    <t>Параметр</t>
  </si>
  <si>
    <t>Значение</t>
  </si>
  <si>
    <t>Название</t>
  </si>
  <si>
    <t>Директор</t>
  </si>
  <si>
    <t>НДС</t>
  </si>
  <si>
    <t>Дата актуальности данных:</t>
  </si>
  <si>
    <t>Гл. Бухгалтер</t>
  </si>
  <si>
    <t>Торговая наценка</t>
  </si>
  <si>
    <t>Налог НДС</t>
  </si>
  <si>
    <t>Налог НП</t>
  </si>
  <si>
    <t>Курс доллара (руб)</t>
  </si>
  <si>
    <t>ТФ ООО "Новый век"</t>
  </si>
  <si>
    <t>Иванов С.П</t>
  </si>
  <si>
    <t>Сидорова М.П</t>
  </si>
  <si>
    <t>30,00</t>
  </si>
  <si>
    <t>10.05.02</t>
  </si>
  <si>
    <t>Данные предприятия</t>
  </si>
  <si>
    <t>№ п/п</t>
  </si>
  <si>
    <t>I</t>
  </si>
  <si>
    <t>II</t>
  </si>
  <si>
    <t>IV</t>
  </si>
  <si>
    <t>III</t>
  </si>
  <si>
    <t>V</t>
  </si>
  <si>
    <t>VI</t>
  </si>
  <si>
    <t>VII</t>
  </si>
  <si>
    <t>VIII</t>
  </si>
  <si>
    <t>IX</t>
  </si>
  <si>
    <t>Калькуляция (расчет) стоимости товара</t>
  </si>
  <si>
    <t>Наименование товара</t>
  </si>
  <si>
    <t>Стоимость без налогов</t>
  </si>
  <si>
    <t>в у.е</t>
  </si>
  <si>
    <t>в руб</t>
  </si>
  <si>
    <t>торговая наценка</t>
  </si>
  <si>
    <t>Итого</t>
  </si>
  <si>
    <t>Размер налогов</t>
  </si>
  <si>
    <t>НП</t>
  </si>
  <si>
    <t>Окончательная стоимость</t>
  </si>
  <si>
    <t>Ваза "Бригантина"</t>
  </si>
  <si>
    <t>Кашпо "Бриз"</t>
  </si>
  <si>
    <t>Набор керамических горшков для кактусов</t>
  </si>
  <si>
    <t>Кашпо "Кубики"</t>
  </si>
  <si>
    <t>Подставка для цветов 100см</t>
  </si>
  <si>
    <t>Лиана искусственная 4м</t>
  </si>
  <si>
    <r>
      <t>Водопад декоративный 3м</t>
    </r>
    <r>
      <rPr>
        <i/>
        <vertAlign val="superscript"/>
        <sz val="11"/>
        <color theme="1"/>
        <rFont val="Calibri"/>
        <family val="2"/>
        <scheme val="minor"/>
      </rPr>
      <t>2</t>
    </r>
  </si>
  <si>
    <t>Директор:</t>
  </si>
  <si>
    <t>__________________________</t>
  </si>
  <si>
    <t>Гл. Бухгалтер:</t>
  </si>
  <si>
    <t>___________________________</t>
  </si>
  <si>
    <t>КРЕП-КОМП</t>
  </si>
  <si>
    <t>Нержавеющая сталь</t>
  </si>
  <si>
    <t>Китай</t>
  </si>
  <si>
    <t>Резьба цилиндрическая (MJ)</t>
  </si>
  <si>
    <t>Винт</t>
  </si>
  <si>
    <t>Tech-Krep</t>
  </si>
  <si>
    <t>Оцинкованная сталь</t>
  </si>
  <si>
    <t>Стопорная</t>
  </si>
  <si>
    <t>Шайба</t>
  </si>
  <si>
    <t>Nail</t>
  </si>
  <si>
    <t>Украина</t>
  </si>
  <si>
    <t>Дюкерт</t>
  </si>
  <si>
    <t>Гвоздь</t>
  </si>
  <si>
    <t>КРЕПКО-НАКРЕПКО</t>
  </si>
  <si>
    <t>Сталь</t>
  </si>
  <si>
    <t>Россия</t>
  </si>
  <si>
    <t>Винтовой</t>
  </si>
  <si>
    <t>ЦКИ</t>
  </si>
  <si>
    <t>Коническая</t>
  </si>
  <si>
    <t>Стройметиз</t>
  </si>
  <si>
    <t>Беларусь</t>
  </si>
  <si>
    <t>Строительный</t>
  </si>
  <si>
    <t>Латунь</t>
  </si>
  <si>
    <t>Резьба упорная (S)</t>
  </si>
  <si>
    <t>Метиз-Эксперт</t>
  </si>
  <si>
    <t>Пружинная</t>
  </si>
  <si>
    <t>CONTI</t>
  </si>
  <si>
    <t>Италия</t>
  </si>
  <si>
    <t>Резьба трапецеидальная (Tr)</t>
  </si>
  <si>
    <t>No name</t>
  </si>
  <si>
    <t>Шиферный</t>
  </si>
  <si>
    <t>Резьба метрическая коническая (MK)</t>
  </si>
  <si>
    <t>М-ЧЕЛ</t>
  </si>
  <si>
    <t>Гребенчатый</t>
  </si>
  <si>
    <t>Плоская</t>
  </si>
  <si>
    <t>Цена</t>
  </si>
  <si>
    <t>Поставщик</t>
  </si>
  <si>
    <t>Дата изготовления</t>
  </si>
  <si>
    <t>Материал</t>
  </si>
  <si>
    <t>Страна-производитель</t>
  </si>
  <si>
    <t>Характеристика</t>
  </si>
  <si>
    <t>Наименование</t>
  </si>
  <si>
    <t>Номер</t>
  </si>
  <si>
    <t>Цена, руб/шт</t>
  </si>
  <si>
    <t>Крыло левое заднее</t>
  </si>
  <si>
    <t>Глушитель</t>
  </si>
  <si>
    <t>Капот</t>
  </si>
  <si>
    <t>Крышка багажника</t>
  </si>
  <si>
    <t>Шкив коленчатого вала</t>
  </si>
  <si>
    <t>Фильтр масляный</t>
  </si>
  <si>
    <t>Зеркало левое</t>
  </si>
  <si>
    <t>Фильтр воздушный</t>
  </si>
  <si>
    <t>Бампер передний</t>
  </si>
  <si>
    <t>Радиатор</t>
  </si>
  <si>
    <t>Бампер задний</t>
  </si>
  <si>
    <t>Проушина буксирная</t>
  </si>
  <si>
    <t>Количество, шт</t>
  </si>
  <si>
    <t>Итоговая цена</t>
  </si>
  <si>
    <t>Дверь правая передняя</t>
  </si>
  <si>
    <t>Дверь левая передняя</t>
  </si>
  <si>
    <t>ИТОГО:</t>
  </si>
  <si>
    <t>Щёкин С.С.</t>
  </si>
  <si>
    <t>Харламов В.Б.</t>
  </si>
  <si>
    <t>Тихоновский А.С.</t>
  </si>
  <si>
    <t>Столяров И.В.</t>
  </si>
  <si>
    <t>Пономарёв М.Ю.</t>
  </si>
  <si>
    <t>Петров Ю.А.</t>
  </si>
  <si>
    <t>Нетунаев Д.И.</t>
  </si>
  <si>
    <t>Иванов А.П.</t>
  </si>
  <si>
    <t>Надбавка за месяц 2</t>
  </si>
  <si>
    <t>Надбавка за месяц 1</t>
  </si>
  <si>
    <t>Конец дежурства</t>
  </si>
  <si>
    <t>Начало дежурства</t>
  </si>
  <si>
    <t>ФИО Сотрудника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</si>
</sst>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0.0"/>
  </numFmts>
  <fonts count="11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i/>
      <sz val="11"/>
      <color rgb="FFC30DC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gray0625"/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7" fillId="2" borderId="31" applyFont="0" applyBorder="0" applyAlignment="0">
      <alignment horizontal="right"/>
    </xf>
    <xf numFmtId="0" fontId="10" fillId="0" borderId="0"/>
  </cellStyleXfs>
  <cellXfs count="98">
    <xf numFmtId="0" fontId="0" fillId="0" borderId="0" xfId="0"/>
    <xf numFmtId="0" fontId="3" fillId="0" borderId="6" xfId="0" applyFont="1" applyBorder="1"/>
    <xf numFmtId="0" fontId="3" fillId="0" borderId="3" xfId="0" applyFont="1" applyBorder="1"/>
    <xf numFmtId="0" fontId="1" fillId="0" borderId="0" xfId="0" applyFont="1" applyAlignment="1">
      <alignment horizontal="right"/>
    </xf>
    <xf numFmtId="0" fontId="2" fillId="0" borderId="0" xfId="0" applyFont="1" applyFill="1" applyBorder="1" applyAlignment="1">
      <alignment horizontal="right"/>
    </xf>
    <xf numFmtId="0" fontId="0" fillId="0" borderId="0" xfId="0" applyAlignment="1"/>
    <xf numFmtId="0" fontId="2" fillId="0" borderId="2" xfId="0" applyFont="1" applyBorder="1"/>
    <xf numFmtId="0" fontId="0" fillId="0" borderId="1" xfId="0" applyBorder="1"/>
    <xf numFmtId="0" fontId="2" fillId="0" borderId="7" xfId="0" applyFont="1" applyBorder="1"/>
    <xf numFmtId="0" fontId="0" fillId="0" borderId="8" xfId="0" applyBorder="1"/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1" xfId="0" applyBorder="1"/>
    <xf numFmtId="0" fontId="0" fillId="0" borderId="12" xfId="0" applyBorder="1"/>
    <xf numFmtId="0" fontId="0" fillId="0" borderId="13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" fillId="0" borderId="18" xfId="0" applyFont="1" applyBorder="1" applyAlignment="1">
      <alignment vertical="center"/>
    </xf>
    <xf numFmtId="0" fontId="1" fillId="0" borderId="9" xfId="0" applyFont="1" applyBorder="1" applyAlignment="1">
      <alignment horizontal="right" vertical="center"/>
    </xf>
    <xf numFmtId="0" fontId="1" fillId="0" borderId="8" xfId="0" applyFont="1" applyBorder="1" applyAlignment="1">
      <alignment vertical="center"/>
    </xf>
    <xf numFmtId="9" fontId="1" fillId="0" borderId="9" xfId="0" applyNumberFormat="1" applyFont="1" applyBorder="1" applyAlignment="1">
      <alignment horizontal="right" vertical="center"/>
    </xf>
    <xf numFmtId="0" fontId="1" fillId="0" borderId="19" xfId="0" applyFont="1" applyBorder="1" applyAlignment="1">
      <alignment vertical="center"/>
    </xf>
    <xf numFmtId="9" fontId="1" fillId="0" borderId="12" xfId="0" applyNumberFormat="1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1" fillId="0" borderId="10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 wrapText="1"/>
    </xf>
    <xf numFmtId="0" fontId="1" fillId="0" borderId="12" xfId="0" applyFont="1" applyBorder="1" applyAlignment="1">
      <alignment horizontal="left" vertical="center"/>
    </xf>
    <xf numFmtId="0" fontId="1" fillId="0" borderId="29" xfId="0" applyFont="1" applyBorder="1" applyAlignment="1">
      <alignment horizontal="right" vertical="center"/>
    </xf>
    <xf numFmtId="0" fontId="1" fillId="0" borderId="30" xfId="0" applyFont="1" applyBorder="1" applyAlignment="1">
      <alignment horizontal="left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8" fontId="0" fillId="0" borderId="0" xfId="0" applyNumberFormat="1"/>
    <xf numFmtId="43" fontId="7" fillId="0" borderId="29" xfId="4" applyNumberFormat="1" applyFont="1" applyBorder="1" applyAlignment="1">
      <alignment horizontal="right"/>
    </xf>
    <xf numFmtId="43" fontId="7" fillId="0" borderId="8" xfId="4" applyNumberFormat="1" applyFont="1" applyBorder="1" applyAlignment="1">
      <alignment horizontal="right"/>
    </xf>
    <xf numFmtId="43" fontId="7" fillId="0" borderId="10" xfId="4" applyNumberFormat="1" applyFont="1" applyBorder="1" applyAlignment="1">
      <alignment horizontal="right"/>
    </xf>
    <xf numFmtId="0" fontId="7" fillId="0" borderId="26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/>
    </xf>
    <xf numFmtId="43" fontId="7" fillId="2" borderId="31" xfId="5" applyFont="1" applyBorder="1" applyAlignment="1">
      <alignment horizontal="right"/>
    </xf>
    <xf numFmtId="43" fontId="7" fillId="2" borderId="30" xfId="5" applyFont="1" applyBorder="1" applyAlignment="1"/>
    <xf numFmtId="43" fontId="1" fillId="2" borderId="30" xfId="5" applyFont="1" applyBorder="1" applyAlignment="1"/>
    <xf numFmtId="43" fontId="7" fillId="2" borderId="1" xfId="5" applyFont="1" applyBorder="1" applyAlignment="1">
      <alignment horizontal="right"/>
    </xf>
    <xf numFmtId="43" fontId="7" fillId="2" borderId="9" xfId="5" applyFont="1" applyBorder="1" applyAlignment="1"/>
    <xf numFmtId="43" fontId="1" fillId="2" borderId="9" xfId="5" applyFont="1" applyBorder="1" applyAlignment="1"/>
    <xf numFmtId="43" fontId="7" fillId="2" borderId="11" xfId="5" applyFont="1" applyBorder="1" applyAlignment="1">
      <alignment horizontal="right"/>
    </xf>
    <xf numFmtId="43" fontId="7" fillId="2" borderId="12" xfId="5" applyFont="1" applyBorder="1" applyAlignment="1"/>
    <xf numFmtId="43" fontId="1" fillId="2" borderId="12" xfId="5" applyFont="1" applyBorder="1" applyAlignment="1"/>
    <xf numFmtId="43" fontId="8" fillId="2" borderId="21" xfId="5" applyFont="1" applyBorder="1" applyAlignment="1"/>
    <xf numFmtId="43" fontId="8" fillId="2" borderId="31" xfId="5" applyFont="1" applyBorder="1" applyAlignment="1"/>
    <xf numFmtId="43" fontId="8" fillId="2" borderId="24" xfId="5" applyFont="1" applyBorder="1" applyAlignment="1"/>
    <xf numFmtId="43" fontId="8" fillId="2" borderId="1" xfId="5" applyFont="1" applyBorder="1" applyAlignment="1"/>
    <xf numFmtId="43" fontId="8" fillId="2" borderId="25" xfId="5" applyFont="1" applyBorder="1" applyAlignment="1"/>
    <xf numFmtId="43" fontId="8" fillId="2" borderId="11" xfId="5" applyFont="1" applyBorder="1" applyAlignment="1"/>
    <xf numFmtId="0" fontId="8" fillId="0" borderId="20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3" fontId="0" fillId="2" borderId="0" xfId="5" applyFont="1" applyBorder="1" applyAlignment="1"/>
    <xf numFmtId="0" fontId="3" fillId="0" borderId="0" xfId="0" applyFont="1" applyAlignment="1">
      <alignment horizontal="left"/>
    </xf>
    <xf numFmtId="0" fontId="1" fillId="0" borderId="0" xfId="3"/>
    <xf numFmtId="0" fontId="3" fillId="0" borderId="0" xfId="2"/>
    <xf numFmtId="14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right"/>
    </xf>
    <xf numFmtId="164" fontId="0" fillId="2" borderId="1" xfId="5" applyNumberFormat="1" applyFont="1" applyBorder="1" applyAlignment="1">
      <alignment horizontal="right"/>
    </xf>
    <xf numFmtId="164" fontId="9" fillId="2" borderId="1" xfId="5" applyNumberFormat="1" applyFont="1" applyBorder="1" applyAlignment="1">
      <alignment horizontal="right"/>
    </xf>
    <xf numFmtId="164" fontId="0" fillId="2" borderId="1" xfId="5" applyNumberFormat="1" applyFont="1" applyBorder="1" applyAlignment="1"/>
    <xf numFmtId="0" fontId="10" fillId="0" borderId="0" xfId="6"/>
    <xf numFmtId="0" fontId="10" fillId="0" borderId="1" xfId="6" applyBorder="1"/>
    <xf numFmtId="14" fontId="10" fillId="0" borderId="1" xfId="6" applyNumberFormat="1" applyBorder="1"/>
    <xf numFmtId="165" fontId="0" fillId="0" borderId="1" xfId="0" applyNumberFormat="1" applyBorder="1"/>
    <xf numFmtId="165" fontId="0" fillId="0" borderId="9" xfId="0" applyNumberFormat="1" applyBorder="1"/>
    <xf numFmtId="0" fontId="10" fillId="0" borderId="0" xfId="6"/>
    <xf numFmtId="0" fontId="3" fillId="0" borderId="4" xfId="0" applyFont="1" applyBorder="1"/>
    <xf numFmtId="0" fontId="3" fillId="0" borderId="5" xfId="0" applyFont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17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10" fillId="0" borderId="0" xfId="6" applyAlignment="1"/>
    <xf numFmtId="0" fontId="3" fillId="0" borderId="0" xfId="1"/>
    <xf numFmtId="0" fontId="5" fillId="0" borderId="0" xfId="2" applyFont="1"/>
  </cellXfs>
  <cellStyles count="7">
    <cellStyle name="ColLevel_1" xfId="2" builtinId="2" iLevel="0"/>
    <cellStyle name="ColLevel_2" xfId="3" builtinId="2" iLevel="1"/>
    <cellStyle name="Comma" xfId="4" builtinId="3"/>
    <cellStyle name="Normal" xfId="0" builtinId="0"/>
    <cellStyle name="Normal 2" xfId="6" xr:uid="{611C085F-3000-4C4D-A7AA-E43FBE7FE1AB}"/>
    <cellStyle name="RowLevel_1" xfId="1" builtinId="1" iLevel="0"/>
    <cellStyle name="Style 1" xfId="5" xr:uid="{B44514F8-ED80-4831-9392-16F7F71CBDD2}"/>
  </cellStyles>
  <dxfs count="0"/>
  <tableStyles count="0" defaultTableStyle="TableStyleMedium2" defaultPivotStyle="PivotStyleLight16"/>
  <colors>
    <mruColors>
      <color rgb="FFC30D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1"/>
          <c:order val="1"/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'Расчёт стоимости'!$C$9</c:f>
              <c:strCache>
                <c:ptCount val="1"/>
                <c:pt idx="0">
                  <c:v>Ваза "Бригантина"</c:v>
                </c:pt>
              </c:strCache>
            </c:strRef>
          </c:cat>
          <c:val>
            <c:numRef>
              <c:f>'Расчёт стоимости'!$E$9</c:f>
              <c:numCache>
                <c:formatCode>_(* #,##0.00_);_(* \(#,##0.00\);_(* "-"??_);_(@_)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46-49C6-8EF0-D802EC8C72E7}"/>
            </c:ext>
          </c:extLst>
        </c:ser>
        <c:ser>
          <c:idx val="2"/>
          <c:order val="2"/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'Расчёт стоимости'!$C$9</c:f>
              <c:strCache>
                <c:ptCount val="1"/>
                <c:pt idx="0">
                  <c:v>Ваза "Бригантина"</c:v>
                </c:pt>
              </c:strCache>
            </c:strRef>
          </c:cat>
          <c:val>
            <c:numRef>
              <c:f>'Расчёт стоимости'!$F$9</c:f>
              <c:numCache>
                <c:formatCode>_(* #,##0.00_);_(* \(#,##0.00\);_(* "-"??_);_(@_)</c:formatCode>
                <c:ptCount val="1"/>
                <c:pt idx="0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46-49C6-8EF0-D802EC8C72E7}"/>
            </c:ext>
          </c:extLst>
        </c:ser>
        <c:ser>
          <c:idx val="4"/>
          <c:order val="4"/>
          <c:spPr>
            <a:solidFill>
              <a:schemeClr val="accent5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'Расчёт стоимости'!$C$9</c:f>
              <c:strCache>
                <c:ptCount val="1"/>
                <c:pt idx="0">
                  <c:v>Ваза "Бригантина"</c:v>
                </c:pt>
              </c:strCache>
            </c:strRef>
          </c:cat>
          <c:val>
            <c:numRef>
              <c:f>'Расчёт стоимости'!$H$9</c:f>
              <c:numCache>
                <c:formatCode>_(* #,##0.00_);_(* \(#,##0.00\);_(* "-"??_);_(@_)</c:formatCode>
                <c:ptCount val="1"/>
                <c:pt idx="0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46-49C6-8EF0-D802EC8C72E7}"/>
            </c:ext>
          </c:extLst>
        </c:ser>
        <c:ser>
          <c:idx val="5"/>
          <c:order val="5"/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'Расчёт стоимости'!$C$9</c:f>
              <c:strCache>
                <c:ptCount val="1"/>
                <c:pt idx="0">
                  <c:v>Ваза "Бригантина"</c:v>
                </c:pt>
              </c:strCache>
            </c:strRef>
          </c:cat>
          <c:val>
            <c:numRef>
              <c:f>'Расчёт стоимости'!$I$9</c:f>
              <c:numCache>
                <c:formatCode>_(* #,##0.00_);_(* \(#,##0.00\);_(* "-"??_);_(@_)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46-49C6-8EF0-D802EC8C7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37592184"/>
        <c:axId val="83759152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 w="19050">
                    <a:solidFill>
                      <a:schemeClr val="lt1"/>
                    </a:solidFill>
                  </a:ln>
                  <a:effectLst/>
                </c:spPr>
                <c:invertIfNegative val="0"/>
                <c:dPt>
                  <c:idx val="1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7D17-944A-97C2-34DC62C45EB6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7D17-944A-97C2-34DC62C45EB6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7D17-944A-97C2-34DC62C45EB6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7D17-944A-97C2-34DC62C45EB6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'Расчёт стоимости'!$C$9</c15:sqref>
                        </c15:formulaRef>
                      </c:ext>
                    </c:extLst>
                    <c:strCache>
                      <c:ptCount val="1"/>
                      <c:pt idx="0">
                        <c:v>Ваза "Бригантина"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'Расчёт стоимости'!$D$9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"/>
                      <c:pt idx="0">
                        <c:v>20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7C4-4711-951B-CBCFDD568324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 w="19050">
                    <a:solidFill>
                      <a:schemeClr val="lt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'Расчёт стоимости'!$C$9</c15:sqref>
                        </c15:formulaRef>
                      </c:ext>
                    </c:extLst>
                    <c:strCache>
                      <c:ptCount val="1"/>
                      <c:pt idx="0">
                        <c:v>Ваза "Бригантина"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'Расчёт стоимости'!$G$9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"/>
                      <c:pt idx="0">
                        <c:v>780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A146-49C6-8EF0-D802EC8C72E7}"/>
                  </c:ext>
                </c:extLst>
              </c15:ser>
            </c15:filteredBarSeries>
          </c:ext>
        </c:extLst>
      </c:barChart>
      <c:valAx>
        <c:axId val="83759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592184"/>
        <c:crossBetween val="between"/>
      </c:valAx>
      <c:catAx>
        <c:axId val="8375921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59152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464343</xdr:colOff>
      <xdr:row>4</xdr:row>
      <xdr:rowOff>54768</xdr:rowOff>
    </xdr:from>
    <xdr:to>
      <xdr:col>13</xdr:col>
      <xdr:colOff>502443</xdr:colOff>
      <xdr:row>19</xdr:row>
      <xdr:rowOff>83343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165100</xdr:colOff>
      <xdr:row>9</xdr:row>
      <xdr:rowOff>38100</xdr:rowOff>
    </xdr:from>
    <xdr:to>
      <xdr:col>4</xdr:col>
      <xdr:colOff>1206500</xdr:colOff>
      <xdr:row>10</xdr:row>
      <xdr:rowOff>165100</xdr:rowOff>
    </xdr:to>
    <xdr:sp macro="" textlink="">
      <xdr:nvSpPr>
        <xdr:cNvPr id="8193" name="CommandButton1" hidden="1">
          <a:extLst>
            <a:ext uri="{63B3BB69-23CF-44E3-9099-C40C66FF867C}">
              <a14:compatExt xmlns:a14="http://schemas.microsoft.com/office/drawing/2010/main" spid="_x0000_s8193"/>
            </a:ext>
            <a:ext uri="{FF2B5EF4-FFF2-40B4-BE49-F238E27FC236}">
              <a16:creationId xmlns:a16="http://schemas.microsoft.com/office/drawing/2014/main" id="{00000000-0008-0000-0700-000001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9</xdr:row>
      <xdr:rowOff>63500</xdr:rowOff>
    </xdr:from>
    <xdr:to>
      <xdr:col>0</xdr:col>
      <xdr:colOff>1041400</xdr:colOff>
      <xdr:row>10</xdr:row>
      <xdr:rowOff>139700</xdr:rowOff>
    </xdr:to>
    <xdr:sp macro="" textlink="">
      <xdr:nvSpPr>
        <xdr:cNvPr id="8194" name="CommandButton2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00000000-0008-0000-0700-000002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3662</xdr:colOff>
          <xdr:row>0</xdr:row>
          <xdr:rowOff>7327</xdr:rowOff>
        </xdr:from>
        <xdr:to>
          <xdr:col>6</xdr:col>
          <xdr:colOff>641106</xdr:colOff>
          <xdr:row>2</xdr:row>
          <xdr:rowOff>0</xdr:rowOff>
        </xdr:to>
        <xdr:sp macro="" textlink="">
          <xdr:nvSpPr>
            <xdr:cNvPr id="8196" name="CommandButton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3664</xdr:colOff>
          <xdr:row>2</xdr:row>
          <xdr:rowOff>8427</xdr:rowOff>
        </xdr:from>
        <xdr:to>
          <xdr:col>7</xdr:col>
          <xdr:colOff>3664</xdr:colOff>
          <xdr:row>3</xdr:row>
          <xdr:rowOff>172183</xdr:rowOff>
        </xdr:to>
        <xdr:sp macro="" textlink="">
          <xdr:nvSpPr>
            <xdr:cNvPr id="8197" name="CommandButto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165100</xdr:colOff>
      <xdr:row>9</xdr:row>
      <xdr:rowOff>38100</xdr:rowOff>
    </xdr:from>
    <xdr:to>
      <xdr:col>4</xdr:col>
      <xdr:colOff>1206500</xdr:colOff>
      <xdr:row>10</xdr:row>
      <xdr:rowOff>165100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8193"/>
            </a:ext>
            <a:ext uri="{FF2B5EF4-FFF2-40B4-BE49-F238E27FC236}">
              <a16:creationId xmlns:a16="http://schemas.microsoft.com/office/drawing/2014/main" id="{266CF0FD-61C7-4185-A74D-EB7FA401A11C}"/>
            </a:ext>
          </a:extLst>
        </xdr:cNvPr>
        <xdr:cNvSpPr/>
      </xdr:nvSpPr>
      <xdr:spPr bwMode="auto">
        <a:xfrm>
          <a:off x="5056188" y="1666875"/>
          <a:ext cx="1041400" cy="307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9</xdr:row>
      <xdr:rowOff>63500</xdr:rowOff>
    </xdr:from>
    <xdr:to>
      <xdr:col>0</xdr:col>
      <xdr:colOff>1041400</xdr:colOff>
      <xdr:row>10</xdr:row>
      <xdr:rowOff>139700</xdr:rowOff>
    </xdr:to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E6748105-CFF7-4FD7-8F28-6C922054D481}"/>
            </a:ext>
          </a:extLst>
        </xdr:cNvPr>
        <xdr:cNvSpPr/>
      </xdr:nvSpPr>
      <xdr:spPr bwMode="auto">
        <a:xfrm>
          <a:off x="50800" y="1692275"/>
          <a:ext cx="9906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3662</xdr:colOff>
          <xdr:row>0</xdr:row>
          <xdr:rowOff>7327</xdr:rowOff>
        </xdr:from>
        <xdr:to>
          <xdr:col>6</xdr:col>
          <xdr:colOff>641106</xdr:colOff>
          <xdr:row>2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B83A16AB-0322-4653-B8C9-D89C313AC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3664</xdr:colOff>
          <xdr:row>2</xdr:row>
          <xdr:rowOff>8427</xdr:rowOff>
        </xdr:from>
        <xdr:to>
          <xdr:col>7</xdr:col>
          <xdr:colOff>3664</xdr:colOff>
          <xdr:row>3</xdr:row>
          <xdr:rowOff>172183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C73F2DE5-3A0A-4720-BE53-D0DACA868D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165100</xdr:colOff>
      <xdr:row>9</xdr:row>
      <xdr:rowOff>38100</xdr:rowOff>
    </xdr:from>
    <xdr:to>
      <xdr:col>4</xdr:col>
      <xdr:colOff>1206500</xdr:colOff>
      <xdr:row>10</xdr:row>
      <xdr:rowOff>165100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8193"/>
            </a:ext>
            <a:ext uri="{FF2B5EF4-FFF2-40B4-BE49-F238E27FC236}">
              <a16:creationId xmlns:a16="http://schemas.microsoft.com/office/drawing/2014/main" id="{E18EB984-1518-44D0-858B-3A237000D0EE}"/>
            </a:ext>
          </a:extLst>
        </xdr:cNvPr>
        <xdr:cNvSpPr/>
      </xdr:nvSpPr>
      <xdr:spPr bwMode="auto">
        <a:xfrm>
          <a:off x="5056188" y="1666875"/>
          <a:ext cx="1041400" cy="307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9</xdr:row>
      <xdr:rowOff>63500</xdr:rowOff>
    </xdr:from>
    <xdr:to>
      <xdr:col>0</xdr:col>
      <xdr:colOff>1041400</xdr:colOff>
      <xdr:row>10</xdr:row>
      <xdr:rowOff>139700</xdr:rowOff>
    </xdr:to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9B0E6AB6-DA87-449D-BF1C-85C2AE1F9E22}"/>
            </a:ext>
          </a:extLst>
        </xdr:cNvPr>
        <xdr:cNvSpPr/>
      </xdr:nvSpPr>
      <xdr:spPr bwMode="auto">
        <a:xfrm>
          <a:off x="50800" y="1692275"/>
          <a:ext cx="9906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3662</xdr:colOff>
          <xdr:row>0</xdr:row>
          <xdr:rowOff>7327</xdr:rowOff>
        </xdr:from>
        <xdr:to>
          <xdr:col>6</xdr:col>
          <xdr:colOff>641106</xdr:colOff>
          <xdr:row>2</xdr:row>
          <xdr:rowOff>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708A3251-0CA1-4948-A8F6-44ED8A6456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3664</xdr:colOff>
          <xdr:row>2</xdr:row>
          <xdr:rowOff>8427</xdr:rowOff>
        </xdr:from>
        <xdr:to>
          <xdr:col>7</xdr:col>
          <xdr:colOff>3664</xdr:colOff>
          <xdr:row>3</xdr:row>
          <xdr:rowOff>172183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FC055385-0290-4F2F-A670-114504851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165100</xdr:colOff>
      <xdr:row>9</xdr:row>
      <xdr:rowOff>38100</xdr:rowOff>
    </xdr:from>
    <xdr:to>
      <xdr:col>4</xdr:col>
      <xdr:colOff>1206500</xdr:colOff>
      <xdr:row>10</xdr:row>
      <xdr:rowOff>165100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8193"/>
            </a:ext>
            <a:ext uri="{FF2B5EF4-FFF2-40B4-BE49-F238E27FC236}">
              <a16:creationId xmlns:a16="http://schemas.microsoft.com/office/drawing/2014/main" id="{99B7BC53-0EB6-4DFB-AF27-86E960589023}"/>
            </a:ext>
          </a:extLst>
        </xdr:cNvPr>
        <xdr:cNvSpPr/>
      </xdr:nvSpPr>
      <xdr:spPr bwMode="auto">
        <a:xfrm>
          <a:off x="5056188" y="1666875"/>
          <a:ext cx="1041400" cy="307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9</xdr:row>
      <xdr:rowOff>63500</xdr:rowOff>
    </xdr:from>
    <xdr:to>
      <xdr:col>0</xdr:col>
      <xdr:colOff>1041400</xdr:colOff>
      <xdr:row>10</xdr:row>
      <xdr:rowOff>139700</xdr:rowOff>
    </xdr:to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71ED932B-7D43-4006-AC08-07A2D400B8EB}"/>
            </a:ext>
          </a:extLst>
        </xdr:cNvPr>
        <xdr:cNvSpPr/>
      </xdr:nvSpPr>
      <xdr:spPr bwMode="auto">
        <a:xfrm>
          <a:off x="50800" y="1692275"/>
          <a:ext cx="9906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3662</xdr:colOff>
          <xdr:row>0</xdr:row>
          <xdr:rowOff>7327</xdr:rowOff>
        </xdr:from>
        <xdr:to>
          <xdr:col>6</xdr:col>
          <xdr:colOff>641106</xdr:colOff>
          <xdr:row>2</xdr:row>
          <xdr:rowOff>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9F704260-06A0-4282-A022-2335C628D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3664</xdr:colOff>
          <xdr:row>2</xdr:row>
          <xdr:rowOff>8427</xdr:rowOff>
        </xdr:from>
        <xdr:to>
          <xdr:col>7</xdr:col>
          <xdr:colOff>3664</xdr:colOff>
          <xdr:row>3</xdr:row>
          <xdr:rowOff>172183</xdr:rowOff>
        </xdr:to>
        <xdr:sp macro="" textlink="">
          <xdr:nvSpPr>
            <xdr:cNvPr id="17410" name="CommandButton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8A996A87-4D2C-44C4-8201-4A690547B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165100</xdr:colOff>
      <xdr:row>9</xdr:row>
      <xdr:rowOff>38100</xdr:rowOff>
    </xdr:from>
    <xdr:to>
      <xdr:col>4</xdr:col>
      <xdr:colOff>1206500</xdr:colOff>
      <xdr:row>10</xdr:row>
      <xdr:rowOff>165100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8193"/>
            </a:ext>
            <a:ext uri="{FF2B5EF4-FFF2-40B4-BE49-F238E27FC236}">
              <a16:creationId xmlns:a16="http://schemas.microsoft.com/office/drawing/2014/main" id="{DF747FD4-198C-4C4C-9E39-D4417E999CB3}"/>
            </a:ext>
          </a:extLst>
        </xdr:cNvPr>
        <xdr:cNvSpPr/>
      </xdr:nvSpPr>
      <xdr:spPr bwMode="auto">
        <a:xfrm>
          <a:off x="5056188" y="1666875"/>
          <a:ext cx="1041400" cy="307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9</xdr:row>
      <xdr:rowOff>63500</xdr:rowOff>
    </xdr:from>
    <xdr:to>
      <xdr:col>0</xdr:col>
      <xdr:colOff>1041400</xdr:colOff>
      <xdr:row>10</xdr:row>
      <xdr:rowOff>139700</xdr:rowOff>
    </xdr:to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5498D3ED-DCAC-4EAD-87C2-93C9F3B29537}"/>
            </a:ext>
          </a:extLst>
        </xdr:cNvPr>
        <xdr:cNvSpPr/>
      </xdr:nvSpPr>
      <xdr:spPr bwMode="auto">
        <a:xfrm>
          <a:off x="50800" y="1692275"/>
          <a:ext cx="9906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3662</xdr:colOff>
          <xdr:row>0</xdr:row>
          <xdr:rowOff>7327</xdr:rowOff>
        </xdr:from>
        <xdr:to>
          <xdr:col>6</xdr:col>
          <xdr:colOff>641106</xdr:colOff>
          <xdr:row>2</xdr:row>
          <xdr:rowOff>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44BFF49B-6E48-4C94-B319-4F1FC41C2F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3664</xdr:colOff>
          <xdr:row>2</xdr:row>
          <xdr:rowOff>8427</xdr:rowOff>
        </xdr:from>
        <xdr:to>
          <xdr:col>7</xdr:col>
          <xdr:colOff>3664</xdr:colOff>
          <xdr:row>3</xdr:row>
          <xdr:rowOff>172183</xdr:rowOff>
        </xdr:to>
        <xdr:sp macro="" textlink="">
          <xdr:nvSpPr>
            <xdr:cNvPr id="18434" name="CommandButton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ED937CFF-CE35-4B0D-8E97-C92E7E80F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165100</xdr:colOff>
      <xdr:row>9</xdr:row>
      <xdr:rowOff>38100</xdr:rowOff>
    </xdr:from>
    <xdr:to>
      <xdr:col>4</xdr:col>
      <xdr:colOff>1206500</xdr:colOff>
      <xdr:row>10</xdr:row>
      <xdr:rowOff>165100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8193"/>
            </a:ext>
            <a:ext uri="{FF2B5EF4-FFF2-40B4-BE49-F238E27FC236}">
              <a16:creationId xmlns:a16="http://schemas.microsoft.com/office/drawing/2014/main" id="{A4E669D6-3B10-4BB1-A1C3-C397F660C20F}"/>
            </a:ext>
          </a:extLst>
        </xdr:cNvPr>
        <xdr:cNvSpPr/>
      </xdr:nvSpPr>
      <xdr:spPr bwMode="auto">
        <a:xfrm>
          <a:off x="5056188" y="1666875"/>
          <a:ext cx="1041400" cy="307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9</xdr:row>
      <xdr:rowOff>63500</xdr:rowOff>
    </xdr:from>
    <xdr:to>
      <xdr:col>0</xdr:col>
      <xdr:colOff>1041400</xdr:colOff>
      <xdr:row>10</xdr:row>
      <xdr:rowOff>139700</xdr:rowOff>
    </xdr:to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576D639D-B0D9-45CB-BED7-25341602E06F}"/>
            </a:ext>
          </a:extLst>
        </xdr:cNvPr>
        <xdr:cNvSpPr/>
      </xdr:nvSpPr>
      <xdr:spPr bwMode="auto">
        <a:xfrm>
          <a:off x="50800" y="1692275"/>
          <a:ext cx="9906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3662</xdr:colOff>
          <xdr:row>0</xdr:row>
          <xdr:rowOff>7327</xdr:rowOff>
        </xdr:from>
        <xdr:to>
          <xdr:col>6</xdr:col>
          <xdr:colOff>641106</xdr:colOff>
          <xdr:row>2</xdr:row>
          <xdr:rowOff>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85C86336-43F0-4F8C-9E3C-E92F06040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3664</xdr:colOff>
          <xdr:row>2</xdr:row>
          <xdr:rowOff>8427</xdr:rowOff>
        </xdr:from>
        <xdr:to>
          <xdr:col>7</xdr:col>
          <xdr:colOff>3664</xdr:colOff>
          <xdr:row>3</xdr:row>
          <xdr:rowOff>172183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E2F16E74-9DD3-4CF0-913E-EFA69D613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3DD08-4987-42B3-9F55-0AD8D869087E}">
  <sheetPr codeName="Sheet1"/>
  <dimension ref="A1:C30"/>
  <sheetViews>
    <sheetView topLeftCell="A8" workbookViewId="0">
      <selection activeCell="C17" sqref="C17"/>
    </sheetView>
  </sheetViews>
  <sheetFormatPr defaultColWidth="8.796875" defaultRowHeight="14.25" x14ac:dyDescent="0.45"/>
  <cols>
    <col min="1" max="1" width="13.46484375" customWidth="1"/>
    <col min="3" max="3" width="11.1328125" customWidth="1"/>
  </cols>
  <sheetData>
    <row r="1" spans="1:3" ht="14.65" thickBot="1" x14ac:dyDescent="0.5"/>
    <row r="2" spans="1:3" x14ac:dyDescent="0.45">
      <c r="B2" s="3" t="s">
        <v>6</v>
      </c>
      <c r="C2" s="14">
        <v>-8</v>
      </c>
    </row>
    <row r="3" spans="1:3" x14ac:dyDescent="0.45">
      <c r="B3" s="3" t="s">
        <v>7</v>
      </c>
      <c r="C3" s="15">
        <v>8</v>
      </c>
    </row>
    <row r="4" spans="1:3" x14ac:dyDescent="0.45">
      <c r="B4" s="3" t="s">
        <v>8</v>
      </c>
      <c r="C4" s="15">
        <v>1</v>
      </c>
    </row>
    <row r="5" spans="1:3" ht="14.65" thickBot="1" x14ac:dyDescent="0.5">
      <c r="B5" s="3" t="s">
        <v>9</v>
      </c>
      <c r="C5" s="16" t="s">
        <v>0</v>
      </c>
    </row>
    <row r="7" spans="1:3" x14ac:dyDescent="0.45">
      <c r="B7" s="4" t="s">
        <v>1</v>
      </c>
    </row>
    <row r="8" spans="1:3" ht="14.65" thickBot="1" x14ac:dyDescent="0.5"/>
    <row r="9" spans="1:3" x14ac:dyDescent="0.45">
      <c r="A9" s="2" t="s">
        <v>2</v>
      </c>
      <c r="B9" s="80" t="s">
        <v>5</v>
      </c>
      <c r="C9" s="81"/>
    </row>
    <row r="10" spans="1:3" x14ac:dyDescent="0.45">
      <c r="A10" s="1"/>
      <c r="B10" s="6" t="s">
        <v>3</v>
      </c>
      <c r="C10" s="8" t="s">
        <v>4</v>
      </c>
    </row>
    <row r="11" spans="1:3" x14ac:dyDescent="0.45">
      <c r="A11" s="9">
        <v>-8</v>
      </c>
      <c r="B11" s="77">
        <f>$A11/1+1*SIN($A11)*SIN($A11)</f>
        <v>-7.0211702598383079</v>
      </c>
      <c r="C11" s="78">
        <f>$A11/10+10*SIN($A11)*SIN($A11)</f>
        <v>8.9882974016169221</v>
      </c>
    </row>
    <row r="12" spans="1:3" x14ac:dyDescent="0.45">
      <c r="A12" s="9">
        <v>-7</v>
      </c>
      <c r="B12" s="77">
        <f t="shared" ref="B12:B27" si="0">$A12/1+1*SIN($A12)*SIN($A12)</f>
        <v>-6.5683686091039171</v>
      </c>
      <c r="C12" s="78">
        <f t="shared" ref="C12:C27" si="1">$A12/10+10*SIN($A12)*SIN($A12)</f>
        <v>3.6163139089608318</v>
      </c>
    </row>
    <row r="13" spans="1:3" x14ac:dyDescent="0.45">
      <c r="A13" s="9">
        <v>-6</v>
      </c>
      <c r="B13" s="77">
        <f t="shared" si="0"/>
        <v>-5.9219269793662459</v>
      </c>
      <c r="C13" s="78">
        <f t="shared" si="1"/>
        <v>0.18073020633753945</v>
      </c>
    </row>
    <row r="14" spans="1:3" x14ac:dyDescent="0.45">
      <c r="A14" s="9">
        <v>-5</v>
      </c>
      <c r="B14" s="77">
        <f t="shared" si="0"/>
        <v>-4.0804642354617737</v>
      </c>
      <c r="C14" s="78">
        <f t="shared" si="1"/>
        <v>8.6953576453822627</v>
      </c>
    </row>
    <row r="15" spans="1:3" x14ac:dyDescent="0.45">
      <c r="A15" s="9">
        <v>-4</v>
      </c>
      <c r="B15" s="77">
        <f t="shared" si="0"/>
        <v>-3.4272499830956935</v>
      </c>
      <c r="C15" s="78">
        <f t="shared" si="1"/>
        <v>5.3275001690430672</v>
      </c>
    </row>
    <row r="16" spans="1:3" x14ac:dyDescent="0.45">
      <c r="A16" s="9">
        <v>-3</v>
      </c>
      <c r="B16" s="77">
        <f t="shared" si="0"/>
        <v>-2.9800851433251832</v>
      </c>
      <c r="C16" s="78">
        <f t="shared" si="1"/>
        <v>-0.1008514332518301</v>
      </c>
    </row>
    <row r="17" spans="1:3" x14ac:dyDescent="0.45">
      <c r="A17" s="9">
        <v>-2</v>
      </c>
      <c r="B17" s="77">
        <f t="shared" si="0"/>
        <v>-1.1731781895681941</v>
      </c>
      <c r="C17" s="78">
        <f t="shared" si="1"/>
        <v>8.0682181043180616</v>
      </c>
    </row>
    <row r="18" spans="1:3" x14ac:dyDescent="0.45">
      <c r="A18" s="9">
        <v>-1</v>
      </c>
      <c r="B18" s="77">
        <f t="shared" si="0"/>
        <v>-0.29192658172642882</v>
      </c>
      <c r="C18" s="78">
        <f t="shared" si="1"/>
        <v>6.9807341827357128</v>
      </c>
    </row>
    <row r="19" spans="1:3" x14ac:dyDescent="0.45">
      <c r="A19" s="9">
        <v>0</v>
      </c>
      <c r="B19" s="77">
        <f t="shared" si="0"/>
        <v>0</v>
      </c>
      <c r="C19" s="78">
        <f t="shared" si="1"/>
        <v>0</v>
      </c>
    </row>
    <row r="20" spans="1:3" x14ac:dyDescent="0.45">
      <c r="A20" s="9">
        <v>1</v>
      </c>
      <c r="B20" s="77">
        <f t="shared" si="0"/>
        <v>1.7080734182735711</v>
      </c>
      <c r="C20" s="78">
        <f t="shared" si="1"/>
        <v>7.1807341827357121</v>
      </c>
    </row>
    <row r="21" spans="1:3" x14ac:dyDescent="0.45">
      <c r="A21" s="9">
        <v>2</v>
      </c>
      <c r="B21" s="77">
        <f t="shared" si="0"/>
        <v>2.8268218104318059</v>
      </c>
      <c r="C21" s="78">
        <f t="shared" si="1"/>
        <v>8.4682181043180602</v>
      </c>
    </row>
    <row r="22" spans="1:3" x14ac:dyDescent="0.45">
      <c r="A22" s="9">
        <v>3</v>
      </c>
      <c r="B22" s="77">
        <f t="shared" si="0"/>
        <v>3.0199148566748168</v>
      </c>
      <c r="C22" s="78">
        <f t="shared" si="1"/>
        <v>0.49914856674816988</v>
      </c>
    </row>
    <row r="23" spans="1:3" x14ac:dyDescent="0.45">
      <c r="A23" s="9">
        <v>4</v>
      </c>
      <c r="B23" s="77">
        <f t="shared" si="0"/>
        <v>4.5727500169043065</v>
      </c>
      <c r="C23" s="78">
        <f t="shared" si="1"/>
        <v>6.1275001690430679</v>
      </c>
    </row>
    <row r="24" spans="1:3" x14ac:dyDescent="0.45">
      <c r="A24" s="9">
        <v>5</v>
      </c>
      <c r="B24" s="77">
        <f t="shared" si="0"/>
        <v>5.9195357645382263</v>
      </c>
      <c r="C24" s="78">
        <f t="shared" si="1"/>
        <v>9.6953576453822627</v>
      </c>
    </row>
    <row r="25" spans="1:3" x14ac:dyDescent="0.45">
      <c r="A25" s="9">
        <v>6</v>
      </c>
      <c r="B25" s="77">
        <f t="shared" si="0"/>
        <v>6.0780730206337541</v>
      </c>
      <c r="C25" s="78">
        <f t="shared" si="1"/>
        <v>1.3807302063375393</v>
      </c>
    </row>
    <row r="26" spans="1:3" x14ac:dyDescent="0.45">
      <c r="A26" s="9">
        <v>7</v>
      </c>
      <c r="B26" s="77">
        <f t="shared" si="0"/>
        <v>7.4316313908960829</v>
      </c>
      <c r="C26" s="78">
        <f t="shared" si="1"/>
        <v>5.0163139089608322</v>
      </c>
    </row>
    <row r="27" spans="1:3" x14ac:dyDescent="0.45">
      <c r="A27" s="9">
        <v>8</v>
      </c>
      <c r="B27" s="77">
        <f t="shared" si="0"/>
        <v>8.978829740161693</v>
      </c>
      <c r="C27" s="78">
        <f t="shared" si="1"/>
        <v>10.588297401616924</v>
      </c>
    </row>
    <row r="28" spans="1:3" ht="48.75" customHeight="1" x14ac:dyDescent="0.45">
      <c r="A28" s="10" t="s">
        <v>10</v>
      </c>
      <c r="B28" s="77">
        <f>MAX(B11:B27)</f>
        <v>8.978829740161693</v>
      </c>
      <c r="C28" s="78">
        <f>MAX(C11:C27)</f>
        <v>10.588297401616924</v>
      </c>
    </row>
    <row r="29" spans="1:3" ht="42.75" x14ac:dyDescent="0.45">
      <c r="A29" s="10" t="s">
        <v>11</v>
      </c>
      <c r="B29" s="77">
        <f>MIN(B11:B27)</f>
        <v>-7.0211702598383079</v>
      </c>
      <c r="C29" s="78">
        <f>MIN(C11:C27)</f>
        <v>-0.1008514332518301</v>
      </c>
    </row>
    <row r="30" spans="1:3" ht="43.15" thickBot="1" x14ac:dyDescent="0.5">
      <c r="A30" s="11" t="s">
        <v>12</v>
      </c>
      <c r="B30" s="12">
        <f>COUNTIF(B11:B27,$C$5)</f>
        <v>0</v>
      </c>
      <c r="C30" s="13">
        <f>COUNTIF(C11:C27,$C$5)</f>
        <v>0</v>
      </c>
    </row>
  </sheetData>
  <mergeCells count="2">
    <mergeCell ref="A9:A10"/>
    <mergeCell ref="B9:C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14FD3-7A9A-4A79-96EA-117752BA2D31}">
  <sheetPr codeName="Sheet2"/>
  <dimension ref="A1:B12"/>
  <sheetViews>
    <sheetView workbookViewId="0">
      <selection activeCell="B18" sqref="B18"/>
    </sheetView>
  </sheetViews>
  <sheetFormatPr defaultColWidth="8.796875" defaultRowHeight="14.25" x14ac:dyDescent="0.45"/>
  <cols>
    <col min="1" max="1" width="17" customWidth="1"/>
    <col min="2" max="2" width="19.33203125" customWidth="1"/>
    <col min="3" max="3" width="19.796875" customWidth="1"/>
  </cols>
  <sheetData>
    <row r="1" spans="1:2" x14ac:dyDescent="0.45">
      <c r="A1" s="82" t="s">
        <v>29</v>
      </c>
      <c r="B1" s="82"/>
    </row>
    <row r="2" spans="1:2" ht="14.65" thickBot="1" x14ac:dyDescent="0.5"/>
    <row r="3" spans="1:2" x14ac:dyDescent="0.45">
      <c r="A3" s="20" t="s">
        <v>13</v>
      </c>
      <c r="B3" s="19" t="s">
        <v>14</v>
      </c>
    </row>
    <row r="4" spans="1:2" x14ac:dyDescent="0.45">
      <c r="A4" s="21" t="s">
        <v>15</v>
      </c>
      <c r="B4" s="22" t="s">
        <v>24</v>
      </c>
    </row>
    <row r="5" spans="1:2" x14ac:dyDescent="0.45">
      <c r="A5" s="21" t="s">
        <v>16</v>
      </c>
      <c r="B5" s="22" t="s">
        <v>25</v>
      </c>
    </row>
    <row r="6" spans="1:2" x14ac:dyDescent="0.45">
      <c r="A6" s="21" t="s">
        <v>19</v>
      </c>
      <c r="B6" s="22" t="s">
        <v>26</v>
      </c>
    </row>
    <row r="7" spans="1:2" x14ac:dyDescent="0.45">
      <c r="A7" s="23" t="s">
        <v>20</v>
      </c>
      <c r="B7" s="24">
        <v>0.3</v>
      </c>
    </row>
    <row r="8" spans="1:2" x14ac:dyDescent="0.45">
      <c r="A8" s="23" t="s">
        <v>21</v>
      </c>
      <c r="B8" s="24">
        <v>0.2</v>
      </c>
    </row>
    <row r="9" spans="1:2" x14ac:dyDescent="0.45">
      <c r="A9" s="23" t="s">
        <v>22</v>
      </c>
      <c r="B9" s="24">
        <v>0.05</v>
      </c>
    </row>
    <row r="10" spans="1:2" ht="14.65" thickBot="1" x14ac:dyDescent="0.5">
      <c r="A10" s="25" t="s">
        <v>23</v>
      </c>
      <c r="B10" s="26" t="s">
        <v>27</v>
      </c>
    </row>
    <row r="11" spans="1:2" x14ac:dyDescent="0.45">
      <c r="A11" s="5"/>
      <c r="B11" s="5"/>
    </row>
    <row r="12" spans="1:2" ht="28.5" x14ac:dyDescent="0.45">
      <c r="A12" s="17" t="s">
        <v>18</v>
      </c>
      <c r="B12" s="18" t="s">
        <v>28</v>
      </c>
    </row>
  </sheetData>
  <mergeCells count="1">
    <mergeCell ref="A1:B1"/>
  </mergeCell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4EDF-3162-4135-9D00-A6930B0D0F4E}">
  <sheetPr codeName="Sheet3"/>
  <dimension ref="B2:J28"/>
  <sheetViews>
    <sheetView tabSelected="1" topLeftCell="B3" zoomScale="81" workbookViewId="0">
      <selection activeCell="J19" sqref="J19"/>
    </sheetView>
  </sheetViews>
  <sheetFormatPr defaultColWidth="8.796875" defaultRowHeight="14.25" x14ac:dyDescent="0.45"/>
  <cols>
    <col min="3" max="3" width="26.6640625" customWidth="1"/>
    <col min="4" max="4" width="9.1328125" bestFit="1" customWidth="1"/>
    <col min="5" max="5" width="9.6640625" bestFit="1" customWidth="1"/>
    <col min="6" max="6" width="11.1328125" customWidth="1"/>
    <col min="7" max="8" width="9.46484375" bestFit="1" customWidth="1"/>
    <col min="9" max="9" width="9.1328125" bestFit="1" customWidth="1"/>
    <col min="10" max="10" width="14.796875" customWidth="1"/>
  </cols>
  <sheetData>
    <row r="2" spans="2:10" x14ac:dyDescent="0.45">
      <c r="B2" s="83" t="s">
        <v>24</v>
      </c>
      <c r="C2" s="83"/>
    </row>
    <row r="4" spans="2:10" x14ac:dyDescent="0.45">
      <c r="B4" s="84" t="s">
        <v>40</v>
      </c>
      <c r="C4" s="85"/>
      <c r="D4" s="85"/>
      <c r="E4" s="85"/>
      <c r="F4" s="85"/>
      <c r="G4" s="85"/>
      <c r="H4" s="85"/>
      <c r="I4" s="85"/>
      <c r="J4" s="85"/>
    </row>
    <row r="5" spans="2:10" ht="14.65" thickBot="1" x14ac:dyDescent="0.5"/>
    <row r="6" spans="2:10" x14ac:dyDescent="0.45">
      <c r="B6" s="86" t="s">
        <v>30</v>
      </c>
      <c r="C6" s="88" t="s">
        <v>41</v>
      </c>
      <c r="D6" s="86" t="s">
        <v>42</v>
      </c>
      <c r="E6" s="90"/>
      <c r="F6" s="90"/>
      <c r="G6" s="88"/>
      <c r="H6" s="91" t="s">
        <v>47</v>
      </c>
      <c r="I6" s="92"/>
      <c r="J6" s="93" t="s">
        <v>49</v>
      </c>
    </row>
    <row r="7" spans="2:10" ht="29" customHeight="1" thickBot="1" x14ac:dyDescent="0.5">
      <c r="B7" s="87"/>
      <c r="C7" s="89"/>
      <c r="D7" s="42" t="s">
        <v>43</v>
      </c>
      <c r="E7" s="43" t="s">
        <v>44</v>
      </c>
      <c r="F7" s="44" t="s">
        <v>45</v>
      </c>
      <c r="G7" s="45" t="s">
        <v>46</v>
      </c>
      <c r="H7" s="61" t="s">
        <v>17</v>
      </c>
      <c r="I7" s="62" t="s">
        <v>48</v>
      </c>
      <c r="J7" s="94"/>
    </row>
    <row r="8" spans="2:10" ht="17.25" customHeight="1" thickBot="1" x14ac:dyDescent="0.5">
      <c r="B8" s="34" t="s">
        <v>31</v>
      </c>
      <c r="C8" s="35" t="s">
        <v>32</v>
      </c>
      <c r="D8" s="34" t="s">
        <v>34</v>
      </c>
      <c r="E8" s="36" t="s">
        <v>33</v>
      </c>
      <c r="F8" s="36" t="s">
        <v>35</v>
      </c>
      <c r="G8" s="35" t="s">
        <v>36</v>
      </c>
      <c r="H8" s="37" t="s">
        <v>37</v>
      </c>
      <c r="I8" s="36" t="s">
        <v>38</v>
      </c>
      <c r="J8" s="35" t="s">
        <v>39</v>
      </c>
    </row>
    <row r="9" spans="2:10" x14ac:dyDescent="0.45">
      <c r="B9" s="32">
        <v>1</v>
      </c>
      <c r="C9" s="33" t="s">
        <v>50</v>
      </c>
      <c r="D9" s="39">
        <v>20</v>
      </c>
      <c r="E9" s="46">
        <v>600</v>
      </c>
      <c r="F9" s="46">
        <f>E9*'Справочник(C=2)'!$B$7</f>
        <v>180</v>
      </c>
      <c r="G9" s="47">
        <f>E9+F9</f>
        <v>780</v>
      </c>
      <c r="H9" s="55">
        <f>G9*'Справочник(C=2)'!$B$8</f>
        <v>156</v>
      </c>
      <c r="I9" s="56">
        <f>G9*'Справочник(C=2)'!$B$9</f>
        <v>39</v>
      </c>
      <c r="J9" s="48">
        <f>SUM(G9:I9)</f>
        <v>975</v>
      </c>
    </row>
    <row r="10" spans="2:10" x14ac:dyDescent="0.45">
      <c r="B10" s="27">
        <v>2</v>
      </c>
      <c r="C10" s="29" t="s">
        <v>51</v>
      </c>
      <c r="D10" s="40">
        <v>15</v>
      </c>
      <c r="E10" s="49">
        <v>430</v>
      </c>
      <c r="F10" s="49">
        <f>E10*'Справочник(C=2)'!$B$7</f>
        <v>129</v>
      </c>
      <c r="G10" s="50">
        <f t="shared" ref="G10:G15" si="0">E10+F10</f>
        <v>559</v>
      </c>
      <c r="H10" s="57">
        <f>G10*'Справочник(C=2)'!$B$8</f>
        <v>111.80000000000001</v>
      </c>
      <c r="I10" s="58">
        <f>G10*'Справочник(C=2)'!$B$9</f>
        <v>27.950000000000003</v>
      </c>
      <c r="J10" s="51">
        <f t="shared" ref="J10:J15" si="1">SUM(G10:I10)</f>
        <v>698.75</v>
      </c>
    </row>
    <row r="11" spans="2:10" x14ac:dyDescent="0.45">
      <c r="B11" s="27">
        <v>3</v>
      </c>
      <c r="C11" s="29" t="s">
        <v>54</v>
      </c>
      <c r="D11" s="40">
        <v>40</v>
      </c>
      <c r="E11" s="49">
        <v>1200</v>
      </c>
      <c r="F11" s="49">
        <f>E11*'Справочник(C=2)'!$B$7</f>
        <v>360</v>
      </c>
      <c r="G11" s="50">
        <f t="shared" si="0"/>
        <v>1560</v>
      </c>
      <c r="H11" s="57">
        <f>G11*'Справочник(C=2)'!$B$8</f>
        <v>312</v>
      </c>
      <c r="I11" s="58">
        <f>G11*'Справочник(C=2)'!$B$9</f>
        <v>78</v>
      </c>
      <c r="J11" s="51">
        <f t="shared" si="1"/>
        <v>1950</v>
      </c>
    </row>
    <row r="12" spans="2:10" ht="28.5" x14ac:dyDescent="0.45">
      <c r="B12" s="27">
        <v>4</v>
      </c>
      <c r="C12" s="30" t="s">
        <v>52</v>
      </c>
      <c r="D12" s="40">
        <v>33</v>
      </c>
      <c r="E12" s="49">
        <v>990</v>
      </c>
      <c r="F12" s="49">
        <f>E12*'Справочник(C=2)'!$B$7</f>
        <v>297</v>
      </c>
      <c r="G12" s="50">
        <f t="shared" si="0"/>
        <v>1287</v>
      </c>
      <c r="H12" s="57">
        <f>G12*'Справочник(C=2)'!$B$8</f>
        <v>257.40000000000003</v>
      </c>
      <c r="I12" s="58">
        <f>G12*'Справочник(C=2)'!$B$9</f>
        <v>64.350000000000009</v>
      </c>
      <c r="J12" s="51">
        <f t="shared" si="1"/>
        <v>1608.75</v>
      </c>
    </row>
    <row r="13" spans="2:10" x14ac:dyDescent="0.45">
      <c r="B13" s="27">
        <v>5</v>
      </c>
      <c r="C13" s="29" t="s">
        <v>53</v>
      </c>
      <c r="D13" s="40">
        <v>18</v>
      </c>
      <c r="E13" s="49">
        <v>540</v>
      </c>
      <c r="F13" s="49">
        <f>E13*'Справочник(C=2)'!$B$7</f>
        <v>162</v>
      </c>
      <c r="G13" s="50">
        <f t="shared" si="0"/>
        <v>702</v>
      </c>
      <c r="H13" s="57">
        <f>G13*'Справочник(C=2)'!$B$8</f>
        <v>140.4</v>
      </c>
      <c r="I13" s="58">
        <f>G13*'Справочник(C=2)'!$B$9</f>
        <v>35.1</v>
      </c>
      <c r="J13" s="51">
        <f t="shared" si="1"/>
        <v>877.5</v>
      </c>
    </row>
    <row r="14" spans="2:10" x14ac:dyDescent="0.45">
      <c r="B14" s="27">
        <v>6</v>
      </c>
      <c r="C14" s="29" t="s">
        <v>55</v>
      </c>
      <c r="D14" s="40">
        <v>25</v>
      </c>
      <c r="E14" s="49">
        <v>750</v>
      </c>
      <c r="F14" s="49">
        <f>E14*'Справочник(C=2)'!$B$7</f>
        <v>225</v>
      </c>
      <c r="G14" s="50">
        <f t="shared" si="0"/>
        <v>975</v>
      </c>
      <c r="H14" s="57">
        <f>G14*'Справочник(C=2)'!$B$8</f>
        <v>195</v>
      </c>
      <c r="I14" s="58">
        <f>G14*'Справочник(C=2)'!$B$9</f>
        <v>48.75</v>
      </c>
      <c r="J14" s="51">
        <f t="shared" si="1"/>
        <v>1218.75</v>
      </c>
    </row>
    <row r="15" spans="2:10" ht="16.149999999999999" thickBot="1" x14ac:dyDescent="0.5">
      <c r="B15" s="28">
        <v>7</v>
      </c>
      <c r="C15" s="31" t="s">
        <v>56</v>
      </c>
      <c r="D15" s="41">
        <v>150</v>
      </c>
      <c r="E15" s="52">
        <v>4500</v>
      </c>
      <c r="F15" s="52">
        <f>E15*'Справочник(C=2)'!$B$7</f>
        <v>1350</v>
      </c>
      <c r="G15" s="53">
        <f t="shared" si="0"/>
        <v>5850</v>
      </c>
      <c r="H15" s="59">
        <f>G15*'Справочник(C=2)'!$B$8</f>
        <v>1170</v>
      </c>
      <c r="I15" s="60">
        <f>G15*'Справочник(C=2)'!$B$9</f>
        <v>292.5</v>
      </c>
      <c r="J15" s="54">
        <f t="shared" si="1"/>
        <v>7312.5</v>
      </c>
    </row>
    <row r="18" spans="2:10" x14ac:dyDescent="0.45">
      <c r="B18" t="s">
        <v>57</v>
      </c>
      <c r="C18" s="63" t="s">
        <v>58</v>
      </c>
      <c r="D18" s="64" t="str">
        <f>'Справочник(C=2)'!B5</f>
        <v>Иванов С.П</v>
      </c>
      <c r="F18" t="s">
        <v>59</v>
      </c>
      <c r="G18" s="65" t="s">
        <v>60</v>
      </c>
      <c r="J18" s="64" t="str">
        <f>'Справочник(C=2)'!B6</f>
        <v>Сидорова М.П</v>
      </c>
    </row>
    <row r="22" spans="2:10" x14ac:dyDescent="0.45">
      <c r="C22" s="38"/>
    </row>
    <row r="28" spans="2:10" x14ac:dyDescent="0.45">
      <c r="F28" s="7"/>
    </row>
  </sheetData>
  <mergeCells count="7">
    <mergeCell ref="B2:C2"/>
    <mergeCell ref="B4:J4"/>
    <mergeCell ref="B6:B7"/>
    <mergeCell ref="C6:C7"/>
    <mergeCell ref="D6:G6"/>
    <mergeCell ref="H6:I6"/>
    <mergeCell ref="J6:J7"/>
  </mergeCells>
  <phoneticPr fontId="6" type="noConversion"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92623-44BA-47B3-9B0A-552326D9F4B5}">
  <sheetPr codeName="Sheet4"/>
  <dimension ref="A1"/>
  <sheetViews>
    <sheetView workbookViewId="0">
      <selection activeCell="F19" sqref="F19"/>
    </sheetView>
  </sheetViews>
  <sheetFormatPr defaultColWidth="8.796875" defaultRowHeight="14.25" x14ac:dyDescent="0.4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E190-FFB1-4438-A5DF-B57BEDBCB66D}">
  <sheetPr codeName="Sheet7">
    <outlinePr applyStyles="1" summaryBelow="0" summaryRight="0"/>
  </sheetPr>
  <dimension ref="A1:H22"/>
  <sheetViews>
    <sheetView zoomScaleNormal="100" workbookViewId="0">
      <selection activeCell="A9" sqref="A9"/>
    </sheetView>
  </sheetViews>
  <sheetFormatPr defaultColWidth="8.796875" defaultRowHeight="0.1" customHeight="1" outlineLevelRow="1" outlineLevelCol="2" x14ac:dyDescent="0.45"/>
  <cols>
    <col min="1" max="1" width="8.6640625" customWidth="1" outlineLevel="1"/>
    <col min="2" max="2" width="17.1328125" bestFit="1" customWidth="1"/>
    <col min="3" max="3" width="35.796875" style="67" bestFit="1" customWidth="1"/>
    <col min="4" max="4" width="24.6640625" customWidth="1" outlineLevel="1"/>
    <col min="5" max="5" width="19.796875" style="66" customWidth="1" outlineLevel="1"/>
    <col min="6" max="6" width="20.6640625" customWidth="1" outlineLevel="2"/>
    <col min="7" max="7" width="18.796875" customWidth="1" outlineLevel="2"/>
    <col min="8" max="8" width="8" bestFit="1" customWidth="1"/>
  </cols>
  <sheetData>
    <row r="1" spans="1:8" ht="14.25" outlineLevel="1" x14ac:dyDescent="0.45">
      <c r="A1" t="s">
        <v>103</v>
      </c>
      <c r="B1" t="s">
        <v>102</v>
      </c>
      <c r="C1" s="97" t="s">
        <v>101</v>
      </c>
      <c r="D1" t="s">
        <v>100</v>
      </c>
      <c r="E1" s="66" t="s">
        <v>99</v>
      </c>
      <c r="F1" t="s">
        <v>98</v>
      </c>
      <c r="G1" t="s">
        <v>97</v>
      </c>
      <c r="H1" t="s">
        <v>96</v>
      </c>
    </row>
    <row r="2" spans="1:8" ht="14.25" outlineLevel="1" x14ac:dyDescent="0.45">
      <c r="A2">
        <v>12</v>
      </c>
      <c r="B2" t="s">
        <v>69</v>
      </c>
      <c r="C2" s="97" t="s">
        <v>95</v>
      </c>
      <c r="D2" t="s">
        <v>76</v>
      </c>
      <c r="E2" s="66" t="s">
        <v>67</v>
      </c>
      <c r="F2" s="68">
        <v>44054</v>
      </c>
      <c r="G2" t="s">
        <v>80</v>
      </c>
      <c r="H2">
        <v>308</v>
      </c>
    </row>
    <row r="3" spans="1:8" ht="14.25" outlineLevel="1" x14ac:dyDescent="0.45">
      <c r="A3">
        <v>11</v>
      </c>
      <c r="B3" t="s">
        <v>69</v>
      </c>
      <c r="C3" s="97" t="s">
        <v>95</v>
      </c>
      <c r="D3" t="s">
        <v>63</v>
      </c>
      <c r="E3" s="66" t="s">
        <v>67</v>
      </c>
      <c r="F3" s="68">
        <v>44046</v>
      </c>
      <c r="G3" t="s">
        <v>66</v>
      </c>
      <c r="H3">
        <v>245</v>
      </c>
    </row>
    <row r="4" spans="1:8" ht="14.25" outlineLevel="1" x14ac:dyDescent="0.45">
      <c r="A4">
        <v>9</v>
      </c>
      <c r="B4" t="s">
        <v>73</v>
      </c>
      <c r="C4" s="97" t="s">
        <v>94</v>
      </c>
      <c r="D4" t="s">
        <v>76</v>
      </c>
      <c r="E4" s="66" t="s">
        <v>75</v>
      </c>
      <c r="F4" s="68">
        <v>43909</v>
      </c>
      <c r="G4" t="s">
        <v>93</v>
      </c>
      <c r="H4">
        <v>25</v>
      </c>
    </row>
    <row r="5" spans="1:8" ht="14.25" outlineLevel="1" x14ac:dyDescent="0.45">
      <c r="A5">
        <v>1</v>
      </c>
      <c r="B5" t="s">
        <v>65</v>
      </c>
      <c r="C5" s="97" t="s">
        <v>92</v>
      </c>
      <c r="D5" t="s">
        <v>63</v>
      </c>
      <c r="E5" s="66" t="s">
        <v>67</v>
      </c>
      <c r="F5" s="68">
        <v>43833</v>
      </c>
      <c r="G5" t="s">
        <v>78</v>
      </c>
      <c r="H5">
        <v>1070</v>
      </c>
    </row>
    <row r="6" spans="1:8" ht="14.25" outlineLevel="1" x14ac:dyDescent="0.45">
      <c r="A6">
        <v>10</v>
      </c>
      <c r="B6" t="s">
        <v>73</v>
      </c>
      <c r="C6" s="97" t="s">
        <v>91</v>
      </c>
      <c r="D6" t="s">
        <v>76</v>
      </c>
      <c r="E6" s="66" t="s">
        <v>67</v>
      </c>
      <c r="F6" s="68">
        <v>43762</v>
      </c>
      <c r="G6" t="s">
        <v>90</v>
      </c>
      <c r="H6">
        <v>211</v>
      </c>
    </row>
    <row r="7" spans="1:8" ht="14.25" outlineLevel="1" x14ac:dyDescent="0.45">
      <c r="A7">
        <v>4</v>
      </c>
      <c r="B7" t="s">
        <v>65</v>
      </c>
      <c r="C7" s="97" t="s">
        <v>89</v>
      </c>
      <c r="D7" t="s">
        <v>88</v>
      </c>
      <c r="E7" s="66" t="s">
        <v>75</v>
      </c>
      <c r="F7" s="68">
        <v>43753</v>
      </c>
      <c r="G7" t="s">
        <v>87</v>
      </c>
      <c r="H7">
        <v>4600</v>
      </c>
    </row>
    <row r="8" spans="1:8" ht="14.25" outlineLevel="1" x14ac:dyDescent="0.45">
      <c r="A8">
        <v>13</v>
      </c>
      <c r="B8" t="s">
        <v>69</v>
      </c>
      <c r="C8" s="97" t="s">
        <v>86</v>
      </c>
      <c r="D8" t="s">
        <v>76</v>
      </c>
      <c r="E8" s="66" t="s">
        <v>67</v>
      </c>
      <c r="F8" s="68">
        <v>43713</v>
      </c>
      <c r="G8" t="s">
        <v>85</v>
      </c>
      <c r="H8">
        <v>321</v>
      </c>
    </row>
    <row r="9" spans="1:8" ht="14.25" outlineLevel="1" x14ac:dyDescent="0.45">
      <c r="A9">
        <v>5</v>
      </c>
      <c r="B9" t="s">
        <v>65</v>
      </c>
      <c r="C9" s="97" t="s">
        <v>84</v>
      </c>
      <c r="D9" t="s">
        <v>76</v>
      </c>
      <c r="E9" s="66" t="s">
        <v>83</v>
      </c>
      <c r="F9" s="68">
        <v>43700</v>
      </c>
      <c r="G9" t="s">
        <v>80</v>
      </c>
      <c r="H9">
        <v>2630</v>
      </c>
    </row>
    <row r="10" spans="1:8" ht="14.25" outlineLevel="1" x14ac:dyDescent="0.45">
      <c r="A10">
        <v>6</v>
      </c>
      <c r="B10" t="s">
        <v>73</v>
      </c>
      <c r="C10" s="97" t="s">
        <v>82</v>
      </c>
      <c r="D10" t="s">
        <v>81</v>
      </c>
      <c r="E10" s="66" t="s">
        <v>75</v>
      </c>
      <c r="F10" s="68">
        <v>43685</v>
      </c>
      <c r="G10" t="s">
        <v>80</v>
      </c>
      <c r="H10">
        <v>192</v>
      </c>
    </row>
    <row r="11" spans="1:8" ht="14.25" outlineLevel="1" x14ac:dyDescent="0.45">
      <c r="A11">
        <v>15</v>
      </c>
      <c r="B11" t="s">
        <v>69</v>
      </c>
      <c r="C11" s="97" t="s">
        <v>79</v>
      </c>
      <c r="D11" t="s">
        <v>63</v>
      </c>
      <c r="E11" s="66" t="s">
        <v>62</v>
      </c>
      <c r="F11" s="68">
        <v>43682</v>
      </c>
      <c r="G11" t="s">
        <v>66</v>
      </c>
      <c r="H11">
        <v>2375</v>
      </c>
    </row>
    <row r="12" spans="1:8" ht="14.25" outlineLevel="1" x14ac:dyDescent="0.45">
      <c r="A12">
        <v>3</v>
      </c>
      <c r="B12" t="s">
        <v>65</v>
      </c>
      <c r="C12" s="97" t="s">
        <v>64</v>
      </c>
      <c r="D12" t="s">
        <v>76</v>
      </c>
      <c r="E12" s="66" t="s">
        <v>67</v>
      </c>
      <c r="F12" s="68">
        <v>43580</v>
      </c>
      <c r="G12" t="s">
        <v>78</v>
      </c>
      <c r="H12">
        <v>1780</v>
      </c>
    </row>
    <row r="13" spans="1:8" ht="14.25" outlineLevel="1" x14ac:dyDescent="0.45">
      <c r="A13">
        <v>7</v>
      </c>
      <c r="B13" t="s">
        <v>73</v>
      </c>
      <c r="C13" s="97" t="s">
        <v>77</v>
      </c>
      <c r="D13" t="s">
        <v>76</v>
      </c>
      <c r="E13" s="66" t="s">
        <v>75</v>
      </c>
      <c r="F13" s="68">
        <v>43574</v>
      </c>
      <c r="G13" t="s">
        <v>74</v>
      </c>
      <c r="H13">
        <v>187</v>
      </c>
    </row>
    <row r="14" spans="1:8" ht="14.25" outlineLevel="1" x14ac:dyDescent="0.45">
      <c r="A14">
        <v>8</v>
      </c>
      <c r="B14" t="s">
        <v>73</v>
      </c>
      <c r="C14" s="97" t="s">
        <v>72</v>
      </c>
      <c r="D14" t="s">
        <v>71</v>
      </c>
      <c r="E14" s="66" t="s">
        <v>67</v>
      </c>
      <c r="F14" s="68">
        <v>43391</v>
      </c>
      <c r="G14" t="s">
        <v>70</v>
      </c>
      <c r="H14">
        <v>266</v>
      </c>
    </row>
    <row r="15" spans="1:8" ht="14.25" outlineLevel="1" x14ac:dyDescent="0.45">
      <c r="A15">
        <v>14</v>
      </c>
      <c r="B15" t="s">
        <v>69</v>
      </c>
      <c r="C15" s="97" t="s">
        <v>68</v>
      </c>
      <c r="D15" t="s">
        <v>63</v>
      </c>
      <c r="E15" s="66" t="s">
        <v>67</v>
      </c>
      <c r="F15" s="68">
        <v>43375</v>
      </c>
      <c r="G15" t="s">
        <v>66</v>
      </c>
      <c r="H15">
        <v>828</v>
      </c>
    </row>
    <row r="16" spans="1:8" ht="14.25" outlineLevel="1" x14ac:dyDescent="0.45">
      <c r="A16">
        <v>2</v>
      </c>
      <c r="B16" t="s">
        <v>65</v>
      </c>
      <c r="C16" s="97" t="s">
        <v>64</v>
      </c>
      <c r="D16" t="s">
        <v>63</v>
      </c>
      <c r="E16" s="66" t="s">
        <v>62</v>
      </c>
      <c r="F16" s="68">
        <v>43258</v>
      </c>
      <c r="G16" t="s">
        <v>61</v>
      </c>
      <c r="H16">
        <v>865</v>
      </c>
    </row>
    <row r="20" s="96" customFormat="1" ht="14.25" x14ac:dyDescent="0.45"/>
    <row r="21" ht="14.25" outlineLevel="1" x14ac:dyDescent="0.45"/>
    <row r="22" ht="14.25" x14ac:dyDescent="0.45"/>
  </sheetData>
  <autoFilter ref="A1:H16" xr:uid="{C922BF7E-D50E-4B28-AF5C-9A7DBDD7FA7B}"/>
  <dataValidations count="4">
    <dataValidation type="whole" operator="greaterThan" allowBlank="1" showInputMessage="1" showErrorMessage="1" errorTitle="ЦЕЛЫЫЫЫЕ" error="ТАМ ЖЕ БЫЛО НАПИСАНО, ЧТО НУЖНЫ ТОЛЬКО ЦЕЛЫЕ ЗНАЧЕНИЯ, еще учти, что цена не может быть отрицательной" promptTitle="Нужно цену ввести" prompt="Только целые значения" sqref="H2:H16" xr:uid="{066BD35E-F063-45FE-AF73-AF6B0B91B509}">
      <formula1>0</formula1>
    </dataValidation>
    <dataValidation type="whole" allowBlank="1" showInputMessage="1" showErrorMessage="1" errorTitle="Ну номер же" error="Ну нужно натуральное число от 1 до 15, ты справишься" promptTitle="Номер" prompt="Введите номер от 1 до 15" sqref="A2" xr:uid="{2FFB41C1-A688-40BB-ACEA-34ECF118BEA8}">
      <formula1>1</formula1>
      <formula2>15</formula2>
    </dataValidation>
    <dataValidation type="whole" allowBlank="1" showInputMessage="1" showErrorMessage="1" promptTitle="Номер" prompt="Введите номер от 1 до 15" sqref="A3:A4 A6:A16" xr:uid="{4A01BF21-FEA4-487C-8E3E-CAF3376AD5E5}">
      <formula1>1</formula1>
      <formula2>15</formula2>
    </dataValidation>
    <dataValidation type="whole" allowBlank="1" showInputMessage="1" showErrorMessage="1" promptTitle="Номер" prompt="Номер от 1 до 15" sqref="A5" xr:uid="{1A7790AE-C55D-493B-9E94-FD9C1F76C1B5}">
      <formula1>1</formula1>
      <formula2>15</formula2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A9BD-27EF-4A93-A42D-55E09A8BB8D6}">
  <sheetPr codeName="Sheet5"/>
  <dimension ref="A1:C14"/>
  <sheetViews>
    <sheetView workbookViewId="0">
      <selection activeCell="C7" sqref="C7"/>
    </sheetView>
  </sheetViews>
  <sheetFormatPr defaultColWidth="8.796875" defaultRowHeight="14.25" x14ac:dyDescent="0.45"/>
  <cols>
    <col min="1" max="1" width="21" customWidth="1"/>
    <col min="2" max="2" width="13.46484375" customWidth="1"/>
    <col min="3" max="3" width="12.796875" customWidth="1"/>
  </cols>
  <sheetData>
    <row r="1" spans="1:3" x14ac:dyDescent="0.45">
      <c r="A1" s="69" t="s">
        <v>41</v>
      </c>
      <c r="B1" s="69" t="s">
        <v>117</v>
      </c>
      <c r="C1" s="69" t="s">
        <v>118</v>
      </c>
    </row>
    <row r="2" spans="1:3" x14ac:dyDescent="0.45">
      <c r="A2" s="7" t="s">
        <v>113</v>
      </c>
      <c r="B2" s="7">
        <v>2</v>
      </c>
      <c r="C2" s="71">
        <f>IFERROR(VLOOKUP('Таблица 1(F=2)'!A2,'Таблица 2(F=2)'!$A$2:$B$13,2,FALSE)*'Таблица 1(F=2)'!B2, "Нет на рынке")</f>
        <v>5200</v>
      </c>
    </row>
    <row r="3" spans="1:3" x14ac:dyDescent="0.45">
      <c r="A3" s="7" t="s">
        <v>115</v>
      </c>
      <c r="B3" s="7">
        <v>2</v>
      </c>
      <c r="C3" s="71">
        <f>IFERROR(VLOOKUP('Таблица 1(F=2)'!A3,'Таблица 2(F=2)'!$A$2:$B$13,2,FALSE)*'Таблица 1(F=2)'!B3, "Нет на рынке")</f>
        <v>5600</v>
      </c>
    </row>
    <row r="4" spans="1:3" x14ac:dyDescent="0.45">
      <c r="A4" s="7" t="s">
        <v>105</v>
      </c>
      <c r="B4" s="7">
        <v>1</v>
      </c>
      <c r="C4" s="71" t="str">
        <f>IFERROR(VLOOKUP('Таблица 1(F=2)'!A4,'Таблица 2(F=2)'!$A$2:$B$13,2,FALSE)*'Таблица 1(F=2)'!B4, "Нет на рынке")</f>
        <v>Нет на рынке</v>
      </c>
    </row>
    <row r="5" spans="1:3" x14ac:dyDescent="0.45">
      <c r="A5" s="7" t="s">
        <v>119</v>
      </c>
      <c r="B5" s="7">
        <v>3</v>
      </c>
      <c r="C5" s="72" t="str">
        <f>IFERROR(VLOOKUP('Таблица 1(F=2)'!A5,'Таблица 2(F=2)'!$A$2:$B$13,2,FALSE)*'Таблица 1(F=2)'!B5, "Нет на рынке")</f>
        <v>Нет на рынке</v>
      </c>
    </row>
    <row r="6" spans="1:3" x14ac:dyDescent="0.45">
      <c r="A6" s="7" t="s">
        <v>107</v>
      </c>
      <c r="B6" s="7">
        <v>4</v>
      </c>
      <c r="C6" s="71">
        <f>IFERROR(VLOOKUP('Таблица 1(F=2)'!A6,'Таблица 2(F=2)'!$A$2:$B$13,2,FALSE)*'Таблица 1(F=2)'!B6, "Нет на рынке")</f>
        <v>48000</v>
      </c>
    </row>
    <row r="7" spans="1:3" x14ac:dyDescent="0.45">
      <c r="A7" s="7" t="s">
        <v>108</v>
      </c>
      <c r="B7" s="7">
        <v>1</v>
      </c>
      <c r="C7" s="71">
        <f>IFERROR(VLOOKUP('Таблица 1(F=2)'!A7,'Таблица 2(F=2)'!$A$2:$B$13,2,FALSE)*'Таблица 1(F=2)'!B7, "Нет на рынке")</f>
        <v>8000</v>
      </c>
    </row>
    <row r="8" spans="1:3" x14ac:dyDescent="0.45">
      <c r="A8" s="7" t="s">
        <v>109</v>
      </c>
      <c r="B8" s="7">
        <v>1</v>
      </c>
      <c r="C8" s="71" t="str">
        <f>IFERROR(VLOOKUP('Таблица 1(F=2)'!A8,'Таблица 2(F=2)'!$A$2:$B$13,2,FALSE)*'Таблица 1(F=2)'!B8, "Нет на рынке")</f>
        <v>Нет на рынке</v>
      </c>
    </row>
    <row r="9" spans="1:3" x14ac:dyDescent="0.45">
      <c r="A9" s="7" t="s">
        <v>114</v>
      </c>
      <c r="B9" s="7">
        <v>5</v>
      </c>
      <c r="C9" s="71">
        <f>IFERROR(VLOOKUP('Таблица 1(F=2)'!A9,'Таблица 2(F=2)'!$A$2:$B$13,2,FALSE)*'Таблица 1(F=2)'!B9, "Нет на рынке")</f>
        <v>20000</v>
      </c>
    </row>
    <row r="10" spans="1:3" x14ac:dyDescent="0.45">
      <c r="A10" s="7" t="s">
        <v>111</v>
      </c>
      <c r="B10" s="7">
        <v>2</v>
      </c>
      <c r="C10" s="71">
        <f>IFERROR(VLOOKUP('Таблица 1(F=2)'!A10,'Таблица 2(F=2)'!$A$2:$B$13,2,FALSE)*'Таблица 1(F=2)'!B10, "Нет на рынке")</f>
        <v>3000</v>
      </c>
    </row>
    <row r="11" spans="1:3" x14ac:dyDescent="0.45">
      <c r="A11" s="7" t="s">
        <v>120</v>
      </c>
      <c r="B11" s="7">
        <v>1</v>
      </c>
      <c r="C11" s="72" t="str">
        <f>IFERROR(VLOOKUP('Таблица 1(F=2)'!A11,'Таблица 2(F=2)'!$A$2:$B$13,2,FALSE)*'Таблица 1(F=2)'!B11, "Нет на рынке")</f>
        <v>Нет на рынке</v>
      </c>
    </row>
    <row r="12" spans="1:3" x14ac:dyDescent="0.45">
      <c r="A12" s="7" t="s">
        <v>110</v>
      </c>
      <c r="B12" s="7">
        <v>10</v>
      </c>
      <c r="C12" s="71">
        <f>IFERROR(VLOOKUP('Таблица 1(F=2)'!A12,'Таблица 2(F=2)'!$A$2:$B$13,2,FALSE)*'Таблица 1(F=2)'!B12, "Нет на рынке")</f>
        <v>3500</v>
      </c>
    </row>
    <row r="13" spans="1:3" x14ac:dyDescent="0.45">
      <c r="A13" s="7" t="s">
        <v>112</v>
      </c>
      <c r="B13" s="7">
        <v>8</v>
      </c>
      <c r="C13" s="71">
        <f>IFERROR(VLOOKUP('Таблица 1(F=2)'!A13,'Таблица 2(F=2)'!$A$2:$B$13,2,FALSE)*'Таблица 1(F=2)'!B13, "Нет на рынке")</f>
        <v>3640</v>
      </c>
    </row>
    <row r="14" spans="1:3" x14ac:dyDescent="0.45">
      <c r="B14" s="70" t="s">
        <v>121</v>
      </c>
      <c r="C14" s="73">
        <f>SUM(C2:C13)</f>
        <v>96940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BEB6A-8E2A-42F6-9602-3136CE1F7BE9}">
  <sheetPr codeName="Sheet6"/>
  <dimension ref="A1:B13"/>
  <sheetViews>
    <sheetView workbookViewId="0">
      <selection activeCell="A24" sqref="A24"/>
    </sheetView>
  </sheetViews>
  <sheetFormatPr defaultColWidth="8.796875" defaultRowHeight="14.25" x14ac:dyDescent="0.45"/>
  <cols>
    <col min="1" max="1" width="22.1328125" customWidth="1"/>
    <col min="2" max="2" width="14.1328125" customWidth="1"/>
    <col min="7" max="7" width="19.46484375" customWidth="1"/>
    <col min="8" max="8" width="11.6640625" customWidth="1"/>
  </cols>
  <sheetData>
    <row r="1" spans="1:2" x14ac:dyDescent="0.45">
      <c r="A1" s="69" t="s">
        <v>41</v>
      </c>
      <c r="B1" s="69" t="s">
        <v>104</v>
      </c>
    </row>
    <row r="2" spans="1:2" x14ac:dyDescent="0.45">
      <c r="A2" s="7" t="s">
        <v>108</v>
      </c>
      <c r="B2" s="7">
        <v>8000</v>
      </c>
    </row>
    <row r="3" spans="1:2" x14ac:dyDescent="0.45">
      <c r="A3" s="7" t="s">
        <v>106</v>
      </c>
      <c r="B3" s="7">
        <v>1400</v>
      </c>
    </row>
    <row r="4" spans="1:2" x14ac:dyDescent="0.45">
      <c r="A4" s="7" t="s">
        <v>107</v>
      </c>
      <c r="B4" s="7">
        <v>12000</v>
      </c>
    </row>
    <row r="5" spans="1:2" x14ac:dyDescent="0.45">
      <c r="A5" s="7" t="s">
        <v>108</v>
      </c>
      <c r="B5" s="7">
        <v>3500</v>
      </c>
    </row>
    <row r="6" spans="1:2" x14ac:dyDescent="0.45">
      <c r="A6" s="7" t="s">
        <v>108</v>
      </c>
      <c r="B6" s="7">
        <v>700</v>
      </c>
    </row>
    <row r="7" spans="1:2" x14ac:dyDescent="0.45">
      <c r="A7" s="7" t="s">
        <v>110</v>
      </c>
      <c r="B7" s="7">
        <v>350</v>
      </c>
    </row>
    <row r="8" spans="1:2" x14ac:dyDescent="0.45">
      <c r="A8" s="7" t="s">
        <v>111</v>
      </c>
      <c r="B8" s="7">
        <v>1500</v>
      </c>
    </row>
    <row r="9" spans="1:2" x14ac:dyDescent="0.45">
      <c r="A9" s="7" t="s">
        <v>112</v>
      </c>
      <c r="B9" s="7">
        <v>455</v>
      </c>
    </row>
    <row r="10" spans="1:2" x14ac:dyDescent="0.45">
      <c r="A10" s="7" t="s">
        <v>113</v>
      </c>
      <c r="B10" s="7">
        <v>2600</v>
      </c>
    </row>
    <row r="11" spans="1:2" x14ac:dyDescent="0.45">
      <c r="A11" s="7" t="s">
        <v>114</v>
      </c>
      <c r="B11" s="7">
        <v>4000</v>
      </c>
    </row>
    <row r="12" spans="1:2" x14ac:dyDescent="0.45">
      <c r="A12" s="7" t="s">
        <v>115</v>
      </c>
      <c r="B12" s="7">
        <v>2800</v>
      </c>
    </row>
    <row r="13" spans="1:2" x14ac:dyDescent="0.45">
      <c r="A13" s="7" t="s">
        <v>116</v>
      </c>
      <c r="B13" s="7">
        <v>790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D911-A746-4BAB-8111-2072802F3FE8}">
  <sheetPr codeName="Sheet8"/>
  <dimension ref="A1:E11"/>
  <sheetViews>
    <sheetView zoomScale="130" zoomScaleNormal="160" workbookViewId="0">
      <selection activeCell="D11" sqref="D11"/>
    </sheetView>
  </sheetViews>
  <sheetFormatPr defaultColWidth="9" defaultRowHeight="14.25" x14ac:dyDescent="0.45"/>
  <cols>
    <col min="1" max="1" width="16.46484375" style="74" customWidth="1"/>
    <col min="2" max="3" width="16.33203125" style="74" customWidth="1"/>
    <col min="4" max="4" width="19.33203125" style="74" customWidth="1"/>
    <col min="5" max="5" width="18.6640625" style="74" customWidth="1"/>
    <col min="6" max="16384" width="9" style="74"/>
  </cols>
  <sheetData>
    <row r="1" spans="1:5" x14ac:dyDescent="0.45">
      <c r="A1" s="75" t="s">
        <v>134</v>
      </c>
      <c r="B1" s="75" t="s">
        <v>133</v>
      </c>
      <c r="C1" s="75" t="s">
        <v>132</v>
      </c>
      <c r="D1" s="75" t="s">
        <v>131</v>
      </c>
      <c r="E1" s="75" t="s">
        <v>130</v>
      </c>
    </row>
    <row r="2" spans="1:5" x14ac:dyDescent="0.45">
      <c r="A2" s="75" t="s">
        <v>129</v>
      </c>
      <c r="B2" s="76">
        <v>44074</v>
      </c>
      <c r="C2" s="76">
        <f t="shared" ref="C2:C9" si="0">B2+4</f>
        <v>44078</v>
      </c>
      <c r="D2" s="75">
        <f t="shared" ref="D2:D9" si="1">5000 - E2</f>
        <v>1000</v>
      </c>
      <c r="E2" s="75">
        <f t="shared" ref="E2:E9" si="2">IF(MONTH(B2)&lt;&gt;MONTH(C2), DAY(C2),0)*1000</f>
        <v>4000</v>
      </c>
    </row>
    <row r="3" spans="1:5" x14ac:dyDescent="0.45">
      <c r="A3" s="75" t="s">
        <v>128</v>
      </c>
      <c r="B3" s="76">
        <f t="shared" ref="B3:B9" si="3">B2+7</f>
        <v>44081</v>
      </c>
      <c r="C3" s="76">
        <f t="shared" si="0"/>
        <v>44085</v>
      </c>
      <c r="D3" s="75">
        <f t="shared" si="1"/>
        <v>5000</v>
      </c>
      <c r="E3" s="75">
        <f t="shared" si="2"/>
        <v>0</v>
      </c>
    </row>
    <row r="4" spans="1:5" x14ac:dyDescent="0.45">
      <c r="A4" s="75" t="s">
        <v>127</v>
      </c>
      <c r="B4" s="76">
        <f t="shared" si="3"/>
        <v>44088</v>
      </c>
      <c r="C4" s="76">
        <f t="shared" si="0"/>
        <v>44092</v>
      </c>
      <c r="D4" s="75">
        <f t="shared" si="1"/>
        <v>5000</v>
      </c>
      <c r="E4" s="75">
        <f t="shared" si="2"/>
        <v>0</v>
      </c>
    </row>
    <row r="5" spans="1:5" x14ac:dyDescent="0.45">
      <c r="A5" s="75" t="s">
        <v>126</v>
      </c>
      <c r="B5" s="76">
        <f t="shared" si="3"/>
        <v>44095</v>
      </c>
      <c r="C5" s="76">
        <f t="shared" si="0"/>
        <v>44099</v>
      </c>
      <c r="D5" s="75">
        <f t="shared" si="1"/>
        <v>5000</v>
      </c>
      <c r="E5" s="75">
        <f t="shared" si="2"/>
        <v>0</v>
      </c>
    </row>
    <row r="6" spans="1:5" x14ac:dyDescent="0.45">
      <c r="A6" s="75" t="s">
        <v>125</v>
      </c>
      <c r="B6" s="76">
        <f t="shared" si="3"/>
        <v>44102</v>
      </c>
      <c r="C6" s="76">
        <f t="shared" si="0"/>
        <v>44106</v>
      </c>
      <c r="D6" s="75">
        <f t="shared" si="1"/>
        <v>3000</v>
      </c>
      <c r="E6" s="75">
        <f t="shared" si="2"/>
        <v>2000</v>
      </c>
    </row>
    <row r="7" spans="1:5" x14ac:dyDescent="0.45">
      <c r="A7" s="75" t="s">
        <v>124</v>
      </c>
      <c r="B7" s="76">
        <f t="shared" si="3"/>
        <v>44109</v>
      </c>
      <c r="C7" s="76">
        <f t="shared" si="0"/>
        <v>44113</v>
      </c>
      <c r="D7" s="75">
        <f t="shared" si="1"/>
        <v>5000</v>
      </c>
      <c r="E7" s="75">
        <f t="shared" si="2"/>
        <v>0</v>
      </c>
    </row>
    <row r="8" spans="1:5" x14ac:dyDescent="0.45">
      <c r="A8" s="75" t="s">
        <v>123</v>
      </c>
      <c r="B8" s="76">
        <f t="shared" si="3"/>
        <v>44116</v>
      </c>
      <c r="C8" s="76">
        <f t="shared" si="0"/>
        <v>44120</v>
      </c>
      <c r="D8" s="75">
        <f t="shared" si="1"/>
        <v>5000</v>
      </c>
      <c r="E8" s="75">
        <f t="shared" si="2"/>
        <v>0</v>
      </c>
    </row>
    <row r="9" spans="1:5" x14ac:dyDescent="0.45">
      <c r="A9" s="75" t="s">
        <v>122</v>
      </c>
      <c r="B9" s="76">
        <f t="shared" si="3"/>
        <v>44123</v>
      </c>
      <c r="C9" s="76">
        <f t="shared" si="0"/>
        <v>44127</v>
      </c>
      <c r="D9" s="75">
        <f t="shared" si="1"/>
        <v>5000</v>
      </c>
      <c r="E9" s="75">
        <f t="shared" si="2"/>
        <v>0</v>
      </c>
    </row>
    <row r="10" spans="1:5" x14ac:dyDescent="0.45">
      <c r="A10" s="95"/>
      <c r="E10" s="95"/>
    </row>
    <row r="11" spans="1:5" x14ac:dyDescent="0.45">
      <c r="A11" s="95"/>
      <c r="E11" s="9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6" r:id="rId3" name="CommandButton1">
          <controlPr defaultSize="0" autoLine="0" autoPict="0" r:id="rId4">
            <anchor moveWithCells="1">
              <from>
                <xdr:col>5</xdr:col>
                <xdr:colOff>4763</xdr:colOff>
                <xdr:row>0</xdr:row>
                <xdr:rowOff>9525</xdr:rowOff>
              </from>
              <to>
                <xdr:col>6</xdr:col>
                <xdr:colOff>642938</xdr:colOff>
                <xdr:row>2</xdr:row>
                <xdr:rowOff>0</xdr:rowOff>
              </to>
            </anchor>
          </controlPr>
        </control>
      </mc:Choice>
      <mc:Fallback>
        <control shapeId="8196" r:id="rId3" name="CommandButton1"/>
      </mc:Fallback>
    </mc:AlternateContent>
    <mc:AlternateContent xmlns:mc="http://schemas.openxmlformats.org/markup-compatibility/2006">
      <mc:Choice Requires="x14">
        <control shapeId="8197" r:id="rId5" name="CommandButton2">
          <controlPr defaultSize="0" autoLine="0" autoPict="0" r:id="rId6">
            <anchor moveWithCells="1">
              <from>
                <xdr:col>5</xdr:col>
                <xdr:colOff>4763</xdr:colOff>
                <xdr:row>2</xdr:row>
                <xdr:rowOff>9525</xdr:rowOff>
              </from>
              <to>
                <xdr:col>7</xdr:col>
                <xdr:colOff>4763</xdr:colOff>
                <xdr:row>3</xdr:row>
                <xdr:rowOff>171450</xdr:rowOff>
              </to>
            </anchor>
          </controlPr>
        </control>
      </mc:Choice>
      <mc:Fallback>
        <control shapeId="8197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B1996-453A-41B2-883E-7A42B14158AA}">
  <sheetPr codeName="Sheet9"/>
  <dimension ref="A1:E11"/>
  <sheetViews>
    <sheetView zoomScale="130" zoomScaleNormal="160" workbookViewId="0">
      <selection activeCell="D11" sqref="D11"/>
    </sheetView>
  </sheetViews>
  <sheetFormatPr defaultColWidth="9" defaultRowHeight="14.25" x14ac:dyDescent="0.45"/>
  <cols>
    <col min="1" max="1" width="16.46484375" style="79" customWidth="1"/>
    <col min="2" max="3" width="16.33203125" style="79" customWidth="1"/>
    <col min="4" max="4" width="19.33203125" style="79" customWidth="1"/>
    <col min="5" max="5" width="18.6640625" style="79" customWidth="1"/>
    <col min="6" max="16384" width="9" style="79"/>
  </cols>
  <sheetData>
    <row r="1" spans="1:5" x14ac:dyDescent="0.45">
      <c r="A1" s="75" t="s">
        <v>134</v>
      </c>
      <c r="B1" s="75" t="s">
        <v>133</v>
      </c>
      <c r="C1" s="75" t="s">
        <v>132</v>
      </c>
      <c r="D1" s="75" t="s">
        <v>131</v>
      </c>
      <c r="E1" s="75" t="s">
        <v>130</v>
      </c>
    </row>
    <row r="2" spans="1:5" x14ac:dyDescent="0.45">
      <c r="A2" s="75" t="s">
        <v>129</v>
      </c>
      <c r="B2" s="76">
        <v>44018</v>
      </c>
      <c r="C2" s="76">
        <f t="shared" ref="C2:C9" si="0">B2+4</f>
        <v>44022</v>
      </c>
      <c r="D2" s="75">
        <f t="shared" ref="D2:D9" si="1">5000 - E2</f>
        <v>5000</v>
      </c>
      <c r="E2" s="75">
        <f t="shared" ref="E2:E9" si="2">IF(MONTH(B2)&lt;&gt;MONTH(C2), DAY(C2),0)*1000</f>
        <v>0</v>
      </c>
    </row>
    <row r="3" spans="1:5" x14ac:dyDescent="0.45">
      <c r="A3" s="75" t="s">
        <v>128</v>
      </c>
      <c r="B3" s="76">
        <f t="shared" ref="B3:B9" si="3">B2+7</f>
        <v>44025</v>
      </c>
      <c r="C3" s="76">
        <f t="shared" si="0"/>
        <v>44029</v>
      </c>
      <c r="D3" s="75">
        <f t="shared" si="1"/>
        <v>5000</v>
      </c>
      <c r="E3" s="75">
        <f t="shared" si="2"/>
        <v>0</v>
      </c>
    </row>
    <row r="4" spans="1:5" x14ac:dyDescent="0.45">
      <c r="A4" s="75" t="s">
        <v>127</v>
      </c>
      <c r="B4" s="76">
        <f t="shared" si="3"/>
        <v>44032</v>
      </c>
      <c r="C4" s="76">
        <f t="shared" si="0"/>
        <v>44036</v>
      </c>
      <c r="D4" s="75">
        <f t="shared" si="1"/>
        <v>5000</v>
      </c>
      <c r="E4" s="75">
        <f t="shared" si="2"/>
        <v>0</v>
      </c>
    </row>
    <row r="5" spans="1:5" x14ac:dyDescent="0.45">
      <c r="A5" s="75" t="s">
        <v>126</v>
      </c>
      <c r="B5" s="76">
        <f t="shared" si="3"/>
        <v>44039</v>
      </c>
      <c r="C5" s="76">
        <f t="shared" si="0"/>
        <v>44043</v>
      </c>
      <c r="D5" s="75">
        <f t="shared" si="1"/>
        <v>5000</v>
      </c>
      <c r="E5" s="75">
        <f t="shared" si="2"/>
        <v>0</v>
      </c>
    </row>
    <row r="6" spans="1:5" x14ac:dyDescent="0.45">
      <c r="A6" s="75" t="s">
        <v>125</v>
      </c>
      <c r="B6" s="76">
        <f t="shared" si="3"/>
        <v>44046</v>
      </c>
      <c r="C6" s="76">
        <f t="shared" si="0"/>
        <v>44050</v>
      </c>
      <c r="D6" s="75">
        <f t="shared" si="1"/>
        <v>5000</v>
      </c>
      <c r="E6" s="75">
        <f t="shared" si="2"/>
        <v>0</v>
      </c>
    </row>
    <row r="7" spans="1:5" x14ac:dyDescent="0.45">
      <c r="A7" s="75" t="s">
        <v>124</v>
      </c>
      <c r="B7" s="76">
        <f t="shared" si="3"/>
        <v>44053</v>
      </c>
      <c r="C7" s="76">
        <f t="shared" si="0"/>
        <v>44057</v>
      </c>
      <c r="D7" s="75">
        <f t="shared" si="1"/>
        <v>5000</v>
      </c>
      <c r="E7" s="75">
        <f t="shared" si="2"/>
        <v>0</v>
      </c>
    </row>
    <row r="8" spans="1:5" x14ac:dyDescent="0.45">
      <c r="A8" s="75" t="s">
        <v>123</v>
      </c>
      <c r="B8" s="76">
        <f t="shared" si="3"/>
        <v>44060</v>
      </c>
      <c r="C8" s="76">
        <f t="shared" si="0"/>
        <v>44064</v>
      </c>
      <c r="D8" s="75">
        <f t="shared" si="1"/>
        <v>5000</v>
      </c>
      <c r="E8" s="75">
        <f t="shared" si="2"/>
        <v>0</v>
      </c>
    </row>
    <row r="9" spans="1:5" x14ac:dyDescent="0.45">
      <c r="A9" s="75" t="s">
        <v>122</v>
      </c>
      <c r="B9" s="76">
        <f t="shared" si="3"/>
        <v>44067</v>
      </c>
      <c r="C9" s="76">
        <f t="shared" si="0"/>
        <v>44071</v>
      </c>
      <c r="D9" s="75">
        <f t="shared" si="1"/>
        <v>5000</v>
      </c>
      <c r="E9" s="75">
        <f t="shared" si="2"/>
        <v>0</v>
      </c>
    </row>
    <row r="10" spans="1:5" x14ac:dyDescent="0.45">
      <c r="A10" s="95"/>
      <c r="E10" s="95"/>
    </row>
    <row r="11" spans="1:5" x14ac:dyDescent="0.45">
      <c r="A11" s="95"/>
      <c r="E11" s="9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5</xdr:col>
                <xdr:colOff>4763</xdr:colOff>
                <xdr:row>2</xdr:row>
                <xdr:rowOff>9525</xdr:rowOff>
              </from>
              <to>
                <xdr:col>7</xdr:col>
                <xdr:colOff>4763</xdr:colOff>
                <xdr:row>3</xdr:row>
                <xdr:rowOff>171450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5</xdr:col>
                <xdr:colOff>4763</xdr:colOff>
                <xdr:row>0</xdr:row>
                <xdr:rowOff>9525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5EDB3-FEE1-40E5-AC43-D26959267126}">
  <sheetPr codeName="Sheet10"/>
  <dimension ref="A1:E11"/>
  <sheetViews>
    <sheetView zoomScale="130" zoomScaleNormal="160" workbookViewId="0">
      <selection activeCell="D11" sqref="D11"/>
    </sheetView>
  </sheetViews>
  <sheetFormatPr defaultColWidth="9" defaultRowHeight="14.25" x14ac:dyDescent="0.45"/>
  <cols>
    <col min="1" max="1" width="16.46484375" style="79" customWidth="1"/>
    <col min="2" max="3" width="16.33203125" style="79" customWidth="1"/>
    <col min="4" max="4" width="19.33203125" style="79" customWidth="1"/>
    <col min="5" max="5" width="18.6640625" style="79" customWidth="1"/>
    <col min="6" max="16384" width="9" style="79"/>
  </cols>
  <sheetData>
    <row r="1" spans="1:5" x14ac:dyDescent="0.45">
      <c r="A1" s="75" t="s">
        <v>134</v>
      </c>
      <c r="B1" s="75" t="s">
        <v>133</v>
      </c>
      <c r="C1" s="75" t="s">
        <v>132</v>
      </c>
      <c r="D1" s="75" t="s">
        <v>131</v>
      </c>
      <c r="E1" s="75" t="s">
        <v>130</v>
      </c>
    </row>
    <row r="2" spans="1:5" x14ac:dyDescent="0.45">
      <c r="A2" s="75" t="s">
        <v>129</v>
      </c>
      <c r="B2" s="76">
        <v>43962</v>
      </c>
      <c r="C2" s="76">
        <f t="shared" ref="C2:C9" si="0">B2+4</f>
        <v>43966</v>
      </c>
      <c r="D2" s="75">
        <f t="shared" ref="D2:D9" si="1">5000 - E2</f>
        <v>5000</v>
      </c>
      <c r="E2" s="75">
        <f t="shared" ref="E2:E9" si="2">IF(MONTH(B2)&lt;&gt;MONTH(C2), DAY(C2),0)*1000</f>
        <v>0</v>
      </c>
    </row>
    <row r="3" spans="1:5" x14ac:dyDescent="0.45">
      <c r="A3" s="75" t="s">
        <v>128</v>
      </c>
      <c r="B3" s="76">
        <f t="shared" ref="B3:B9" si="3">B2+7</f>
        <v>43969</v>
      </c>
      <c r="C3" s="76">
        <f t="shared" si="0"/>
        <v>43973</v>
      </c>
      <c r="D3" s="75">
        <f t="shared" si="1"/>
        <v>5000</v>
      </c>
      <c r="E3" s="75">
        <f t="shared" si="2"/>
        <v>0</v>
      </c>
    </row>
    <row r="4" spans="1:5" x14ac:dyDescent="0.45">
      <c r="A4" s="75" t="s">
        <v>127</v>
      </c>
      <c r="B4" s="76">
        <f t="shared" si="3"/>
        <v>43976</v>
      </c>
      <c r="C4" s="76">
        <f t="shared" si="0"/>
        <v>43980</v>
      </c>
      <c r="D4" s="75">
        <f t="shared" si="1"/>
        <v>5000</v>
      </c>
      <c r="E4" s="75">
        <f t="shared" si="2"/>
        <v>0</v>
      </c>
    </row>
    <row r="5" spans="1:5" x14ac:dyDescent="0.45">
      <c r="A5" s="75" t="s">
        <v>126</v>
      </c>
      <c r="B5" s="76">
        <f t="shared" si="3"/>
        <v>43983</v>
      </c>
      <c r="C5" s="76">
        <f t="shared" si="0"/>
        <v>43987</v>
      </c>
      <c r="D5" s="75">
        <f t="shared" si="1"/>
        <v>5000</v>
      </c>
      <c r="E5" s="75">
        <f t="shared" si="2"/>
        <v>0</v>
      </c>
    </row>
    <row r="6" spans="1:5" x14ac:dyDescent="0.45">
      <c r="A6" s="75" t="s">
        <v>125</v>
      </c>
      <c r="B6" s="76">
        <f t="shared" si="3"/>
        <v>43990</v>
      </c>
      <c r="C6" s="76">
        <f t="shared" si="0"/>
        <v>43994</v>
      </c>
      <c r="D6" s="75">
        <f t="shared" si="1"/>
        <v>5000</v>
      </c>
      <c r="E6" s="75">
        <f t="shared" si="2"/>
        <v>0</v>
      </c>
    </row>
    <row r="7" spans="1:5" x14ac:dyDescent="0.45">
      <c r="A7" s="75" t="s">
        <v>124</v>
      </c>
      <c r="B7" s="76">
        <f t="shared" si="3"/>
        <v>43997</v>
      </c>
      <c r="C7" s="76">
        <f t="shared" si="0"/>
        <v>44001</v>
      </c>
      <c r="D7" s="75">
        <f t="shared" si="1"/>
        <v>5000</v>
      </c>
      <c r="E7" s="75">
        <f t="shared" si="2"/>
        <v>0</v>
      </c>
    </row>
    <row r="8" spans="1:5" x14ac:dyDescent="0.45">
      <c r="A8" s="75" t="s">
        <v>123</v>
      </c>
      <c r="B8" s="76">
        <f t="shared" si="3"/>
        <v>44004</v>
      </c>
      <c r="C8" s="76">
        <f t="shared" si="0"/>
        <v>44008</v>
      </c>
      <c r="D8" s="75">
        <f t="shared" si="1"/>
        <v>5000</v>
      </c>
      <c r="E8" s="75">
        <f t="shared" si="2"/>
        <v>0</v>
      </c>
    </row>
    <row r="9" spans="1:5" x14ac:dyDescent="0.45">
      <c r="A9" s="75" t="s">
        <v>122</v>
      </c>
      <c r="B9" s="76">
        <f t="shared" si="3"/>
        <v>44011</v>
      </c>
      <c r="C9" s="76">
        <f t="shared" si="0"/>
        <v>44015</v>
      </c>
      <c r="D9" s="75">
        <f t="shared" si="1"/>
        <v>2000</v>
      </c>
      <c r="E9" s="75">
        <f t="shared" si="2"/>
        <v>3000</v>
      </c>
    </row>
    <row r="10" spans="1:5" x14ac:dyDescent="0.45">
      <c r="A10" s="95"/>
      <c r="E10" s="95"/>
    </row>
    <row r="11" spans="1:5" x14ac:dyDescent="0.45">
      <c r="A11" s="95"/>
      <c r="E11" s="9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6" r:id="rId3" name="CommandButton2">
          <controlPr defaultSize="0" autoLine="0" r:id="rId4">
            <anchor moveWithCells="1">
              <from>
                <xdr:col>5</xdr:col>
                <xdr:colOff>4763</xdr:colOff>
                <xdr:row>2</xdr:row>
                <xdr:rowOff>9525</xdr:rowOff>
              </from>
              <to>
                <xdr:col>7</xdr:col>
                <xdr:colOff>4763</xdr:colOff>
                <xdr:row>3</xdr:row>
                <xdr:rowOff>171450</xdr:rowOff>
              </to>
            </anchor>
          </controlPr>
        </control>
      </mc:Choice>
      <mc:Fallback>
        <control shapeId="16386" r:id="rId3" name="CommandButton2"/>
      </mc:Fallback>
    </mc:AlternateContent>
    <mc:AlternateContent xmlns:mc="http://schemas.openxmlformats.org/markup-compatibility/2006">
      <mc:Choice Requires="x14">
        <control shapeId="16385" r:id="rId5" name="CommandButton1">
          <controlPr defaultSize="0" autoLine="0" r:id="rId6">
            <anchor moveWithCells="1">
              <from>
                <xdr:col>5</xdr:col>
                <xdr:colOff>4763</xdr:colOff>
                <xdr:row>0</xdr:row>
                <xdr:rowOff>9525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6385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F41F-0847-4F4E-89CF-02EFA93A5241}">
  <sheetPr codeName="Sheet11"/>
  <dimension ref="A1:E11"/>
  <sheetViews>
    <sheetView zoomScale="130" zoomScaleNormal="160" workbookViewId="0">
      <selection activeCell="E8" sqref="E8"/>
    </sheetView>
  </sheetViews>
  <sheetFormatPr defaultColWidth="9" defaultRowHeight="14.25" x14ac:dyDescent="0.45"/>
  <cols>
    <col min="1" max="1" width="16.46484375" style="79" customWidth="1"/>
    <col min="2" max="3" width="16.33203125" style="79" customWidth="1"/>
    <col min="4" max="4" width="19.33203125" style="79" customWidth="1"/>
    <col min="5" max="5" width="18.6640625" style="79" customWidth="1"/>
    <col min="6" max="16384" width="9" style="79"/>
  </cols>
  <sheetData>
    <row r="1" spans="1:5" x14ac:dyDescent="0.45">
      <c r="A1" s="75" t="s">
        <v>134</v>
      </c>
      <c r="B1" s="75" t="s">
        <v>133</v>
      </c>
      <c r="C1" s="75" t="s">
        <v>132</v>
      </c>
      <c r="D1" s="75" t="s">
        <v>131</v>
      </c>
      <c r="E1" s="75" t="s">
        <v>130</v>
      </c>
    </row>
    <row r="2" spans="1:5" x14ac:dyDescent="0.45">
      <c r="A2" s="75" t="s">
        <v>129</v>
      </c>
      <c r="B2" s="76">
        <v>43906</v>
      </c>
      <c r="C2" s="76">
        <f t="shared" ref="C2:C9" si="0">B2+4</f>
        <v>43910</v>
      </c>
      <c r="D2" s="75">
        <f t="shared" ref="D2:D9" si="1">5000 - E2</f>
        <v>5000</v>
      </c>
      <c r="E2" s="75">
        <f t="shared" ref="E2:E9" si="2">IF(MONTH(B2)&lt;&gt;MONTH(C2), DAY(C2),0)*1000</f>
        <v>0</v>
      </c>
    </row>
    <row r="3" spans="1:5" x14ac:dyDescent="0.45">
      <c r="A3" s="75" t="s">
        <v>128</v>
      </c>
      <c r="B3" s="76">
        <f t="shared" ref="B3:B9" si="3">B2+7</f>
        <v>43913</v>
      </c>
      <c r="C3" s="76">
        <f t="shared" si="0"/>
        <v>43917</v>
      </c>
      <c r="D3" s="75">
        <f t="shared" si="1"/>
        <v>5000</v>
      </c>
      <c r="E3" s="75">
        <f t="shared" si="2"/>
        <v>0</v>
      </c>
    </row>
    <row r="4" spans="1:5" x14ac:dyDescent="0.45">
      <c r="A4" s="75" t="s">
        <v>127</v>
      </c>
      <c r="B4" s="76">
        <f t="shared" si="3"/>
        <v>43920</v>
      </c>
      <c r="C4" s="76">
        <f t="shared" si="0"/>
        <v>43924</v>
      </c>
      <c r="D4" s="75">
        <f t="shared" si="1"/>
        <v>2000</v>
      </c>
      <c r="E4" s="75">
        <f t="shared" si="2"/>
        <v>3000</v>
      </c>
    </row>
    <row r="5" spans="1:5" x14ac:dyDescent="0.45">
      <c r="A5" s="75" t="s">
        <v>126</v>
      </c>
      <c r="B5" s="76">
        <f t="shared" si="3"/>
        <v>43927</v>
      </c>
      <c r="C5" s="76">
        <f t="shared" si="0"/>
        <v>43931</v>
      </c>
      <c r="D5" s="75">
        <f t="shared" si="1"/>
        <v>5000</v>
      </c>
      <c r="E5" s="75">
        <f t="shared" si="2"/>
        <v>0</v>
      </c>
    </row>
    <row r="6" spans="1:5" x14ac:dyDescent="0.45">
      <c r="A6" s="75" t="s">
        <v>125</v>
      </c>
      <c r="B6" s="76">
        <f t="shared" si="3"/>
        <v>43934</v>
      </c>
      <c r="C6" s="76">
        <f t="shared" si="0"/>
        <v>43938</v>
      </c>
      <c r="D6" s="75">
        <f t="shared" si="1"/>
        <v>5000</v>
      </c>
      <c r="E6" s="75">
        <f t="shared" si="2"/>
        <v>0</v>
      </c>
    </row>
    <row r="7" spans="1:5" x14ac:dyDescent="0.45">
      <c r="A7" s="75" t="s">
        <v>124</v>
      </c>
      <c r="B7" s="76">
        <f t="shared" si="3"/>
        <v>43941</v>
      </c>
      <c r="C7" s="76">
        <f t="shared" si="0"/>
        <v>43945</v>
      </c>
      <c r="D7" s="75">
        <f t="shared" si="1"/>
        <v>5000</v>
      </c>
      <c r="E7" s="75">
        <f t="shared" si="2"/>
        <v>0</v>
      </c>
    </row>
    <row r="8" spans="1:5" x14ac:dyDescent="0.45">
      <c r="A8" s="75" t="s">
        <v>123</v>
      </c>
      <c r="B8" s="76">
        <f t="shared" si="3"/>
        <v>43948</v>
      </c>
      <c r="C8" s="76">
        <f t="shared" si="0"/>
        <v>43952</v>
      </c>
      <c r="D8" s="75">
        <f t="shared" si="1"/>
        <v>4000</v>
      </c>
      <c r="E8" s="75">
        <f t="shared" si="2"/>
        <v>1000</v>
      </c>
    </row>
    <row r="9" spans="1:5" x14ac:dyDescent="0.45">
      <c r="A9" s="75" t="s">
        <v>122</v>
      </c>
      <c r="B9" s="76">
        <f t="shared" si="3"/>
        <v>43955</v>
      </c>
      <c r="C9" s="76">
        <f t="shared" si="0"/>
        <v>43959</v>
      </c>
      <c r="D9" s="75">
        <f t="shared" si="1"/>
        <v>5000</v>
      </c>
      <c r="E9" s="75">
        <f t="shared" si="2"/>
        <v>0</v>
      </c>
    </row>
    <row r="10" spans="1:5" x14ac:dyDescent="0.45">
      <c r="A10" s="95"/>
      <c r="E10" s="95"/>
    </row>
    <row r="11" spans="1:5" x14ac:dyDescent="0.45">
      <c r="A11" s="95"/>
      <c r="E11" s="9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0" r:id="rId3" name="CommandButton2">
          <controlPr defaultSize="0" autoLine="0" r:id="rId4">
            <anchor moveWithCells="1">
              <from>
                <xdr:col>5</xdr:col>
                <xdr:colOff>4763</xdr:colOff>
                <xdr:row>2</xdr:row>
                <xdr:rowOff>9525</xdr:rowOff>
              </from>
              <to>
                <xdr:col>7</xdr:col>
                <xdr:colOff>4763</xdr:colOff>
                <xdr:row>3</xdr:row>
                <xdr:rowOff>171450</xdr:rowOff>
              </to>
            </anchor>
          </controlPr>
        </control>
      </mc:Choice>
      <mc:Fallback>
        <control shapeId="17410" r:id="rId3" name="CommandButton2"/>
      </mc:Fallback>
    </mc:AlternateContent>
    <mc:AlternateContent xmlns:mc="http://schemas.openxmlformats.org/markup-compatibility/2006">
      <mc:Choice Requires="x14">
        <control shapeId="17409" r:id="rId5" name="CommandButton1">
          <controlPr defaultSize="0" autoLine="0" r:id="rId6">
            <anchor moveWithCells="1">
              <from>
                <xdr:col>5</xdr:col>
                <xdr:colOff>4763</xdr:colOff>
                <xdr:row>0</xdr:row>
                <xdr:rowOff>9525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7409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A5DB9-C29F-44A4-964B-134F12056B51}">
  <sheetPr codeName="Sheet12"/>
  <dimension ref="A1:E11"/>
  <sheetViews>
    <sheetView zoomScale="130" zoomScaleNormal="160" workbookViewId="0">
      <selection activeCell="D11" sqref="D11"/>
    </sheetView>
  </sheetViews>
  <sheetFormatPr defaultColWidth="9" defaultRowHeight="14.25" x14ac:dyDescent="0.45"/>
  <cols>
    <col min="1" max="1" width="16.46484375" style="79" customWidth="1"/>
    <col min="2" max="3" width="16.33203125" style="79" customWidth="1"/>
    <col min="4" max="4" width="19.33203125" style="79" customWidth="1"/>
    <col min="5" max="5" width="18.6640625" style="79" customWidth="1"/>
    <col min="6" max="16384" width="9" style="79"/>
  </cols>
  <sheetData>
    <row r="1" spans="1:5" x14ac:dyDescent="0.45">
      <c r="A1" s="75" t="s">
        <v>134</v>
      </c>
      <c r="B1" s="75" t="s">
        <v>133</v>
      </c>
      <c r="C1" s="75" t="s">
        <v>132</v>
      </c>
      <c r="D1" s="75" t="s">
        <v>131</v>
      </c>
      <c r="E1" s="75" t="s">
        <v>130</v>
      </c>
    </row>
    <row r="2" spans="1:5" x14ac:dyDescent="0.45">
      <c r="A2" s="75" t="s">
        <v>129</v>
      </c>
      <c r="B2" s="76">
        <v>43850</v>
      </c>
      <c r="C2" s="76">
        <f t="shared" ref="C2:C9" si="0">B2+4</f>
        <v>43854</v>
      </c>
      <c r="D2" s="75">
        <f t="shared" ref="D2:D9" si="1">5000 - E2</f>
        <v>5000</v>
      </c>
      <c r="E2" s="75">
        <f t="shared" ref="E2:E9" si="2">IF(MONTH(B2)&lt;&gt;MONTH(C2), DAY(C2),0)*1000</f>
        <v>0</v>
      </c>
    </row>
    <row r="3" spans="1:5" x14ac:dyDescent="0.45">
      <c r="A3" s="75" t="s">
        <v>128</v>
      </c>
      <c r="B3" s="76">
        <f t="shared" ref="B3:B9" si="3">B2+7</f>
        <v>43857</v>
      </c>
      <c r="C3" s="76">
        <f t="shared" si="0"/>
        <v>43861</v>
      </c>
      <c r="D3" s="75">
        <f t="shared" si="1"/>
        <v>5000</v>
      </c>
      <c r="E3" s="75">
        <f t="shared" si="2"/>
        <v>0</v>
      </c>
    </row>
    <row r="4" spans="1:5" x14ac:dyDescent="0.45">
      <c r="A4" s="75" t="s">
        <v>127</v>
      </c>
      <c r="B4" s="76">
        <f t="shared" si="3"/>
        <v>43864</v>
      </c>
      <c r="C4" s="76">
        <f t="shared" si="0"/>
        <v>43868</v>
      </c>
      <c r="D4" s="75">
        <f t="shared" si="1"/>
        <v>5000</v>
      </c>
      <c r="E4" s="75">
        <f t="shared" si="2"/>
        <v>0</v>
      </c>
    </row>
    <row r="5" spans="1:5" x14ac:dyDescent="0.45">
      <c r="A5" s="75" t="s">
        <v>126</v>
      </c>
      <c r="B5" s="76">
        <f t="shared" si="3"/>
        <v>43871</v>
      </c>
      <c r="C5" s="76">
        <f t="shared" si="0"/>
        <v>43875</v>
      </c>
      <c r="D5" s="75">
        <f t="shared" si="1"/>
        <v>5000</v>
      </c>
      <c r="E5" s="75">
        <f t="shared" si="2"/>
        <v>0</v>
      </c>
    </row>
    <row r="6" spans="1:5" x14ac:dyDescent="0.45">
      <c r="A6" s="75" t="s">
        <v>125</v>
      </c>
      <c r="B6" s="76">
        <f t="shared" si="3"/>
        <v>43878</v>
      </c>
      <c r="C6" s="76">
        <f t="shared" si="0"/>
        <v>43882</v>
      </c>
      <c r="D6" s="75">
        <f t="shared" si="1"/>
        <v>5000</v>
      </c>
      <c r="E6" s="75">
        <f t="shared" si="2"/>
        <v>0</v>
      </c>
    </row>
    <row r="7" spans="1:5" x14ac:dyDescent="0.45">
      <c r="A7" s="75" t="s">
        <v>124</v>
      </c>
      <c r="B7" s="76">
        <f t="shared" si="3"/>
        <v>43885</v>
      </c>
      <c r="C7" s="76">
        <f t="shared" si="0"/>
        <v>43889</v>
      </c>
      <c r="D7" s="75">
        <f t="shared" si="1"/>
        <v>5000</v>
      </c>
      <c r="E7" s="75">
        <f t="shared" si="2"/>
        <v>0</v>
      </c>
    </row>
    <row r="8" spans="1:5" x14ac:dyDescent="0.45">
      <c r="A8" s="75" t="s">
        <v>123</v>
      </c>
      <c r="B8" s="76">
        <f t="shared" si="3"/>
        <v>43892</v>
      </c>
      <c r="C8" s="76">
        <f t="shared" si="0"/>
        <v>43896</v>
      </c>
      <c r="D8" s="75">
        <f t="shared" si="1"/>
        <v>5000</v>
      </c>
      <c r="E8" s="75">
        <f t="shared" si="2"/>
        <v>0</v>
      </c>
    </row>
    <row r="9" spans="1:5" x14ac:dyDescent="0.45">
      <c r="A9" s="75" t="s">
        <v>122</v>
      </c>
      <c r="B9" s="76">
        <f t="shared" si="3"/>
        <v>43899</v>
      </c>
      <c r="C9" s="76">
        <f t="shared" si="0"/>
        <v>43903</v>
      </c>
      <c r="D9" s="75">
        <f t="shared" si="1"/>
        <v>5000</v>
      </c>
      <c r="E9" s="75">
        <f t="shared" si="2"/>
        <v>0</v>
      </c>
    </row>
    <row r="10" spans="1:5" x14ac:dyDescent="0.45">
      <c r="A10" s="95"/>
      <c r="E10" s="95"/>
    </row>
    <row r="11" spans="1:5" x14ac:dyDescent="0.45">
      <c r="A11" s="95"/>
      <c r="E11" s="9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4" r:id="rId3" name="CommandButton2">
          <controlPr defaultSize="0" autoLine="0" r:id="rId4">
            <anchor moveWithCells="1">
              <from>
                <xdr:col>5</xdr:col>
                <xdr:colOff>4763</xdr:colOff>
                <xdr:row>2</xdr:row>
                <xdr:rowOff>9525</xdr:rowOff>
              </from>
              <to>
                <xdr:col>7</xdr:col>
                <xdr:colOff>4763</xdr:colOff>
                <xdr:row>3</xdr:row>
                <xdr:rowOff>171450</xdr:rowOff>
              </to>
            </anchor>
          </controlPr>
        </control>
      </mc:Choice>
      <mc:Fallback>
        <control shapeId="18434" r:id="rId3" name="CommandButton2"/>
      </mc:Fallback>
    </mc:AlternateContent>
    <mc:AlternateContent xmlns:mc="http://schemas.openxmlformats.org/markup-compatibility/2006">
      <mc:Choice Requires="x14">
        <control shapeId="18433" r:id="rId5" name="CommandButton1">
          <controlPr defaultSize="0" autoLine="0" r:id="rId6">
            <anchor moveWithCells="1">
              <from>
                <xdr:col>5</xdr:col>
                <xdr:colOff>4763</xdr:colOff>
                <xdr:row>0</xdr:row>
                <xdr:rowOff>9525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8433" r:id="rId5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4C756-8C74-4F27-A387-2E074AD2D378}">
  <sheetPr codeName="Sheet13"/>
  <dimension ref="A1:E11"/>
  <sheetViews>
    <sheetView zoomScale="130" zoomScaleNormal="160" workbookViewId="0">
      <selection activeCell="E4" sqref="E4"/>
    </sheetView>
  </sheetViews>
  <sheetFormatPr defaultColWidth="9" defaultRowHeight="14.25" x14ac:dyDescent="0.45"/>
  <cols>
    <col min="1" max="1" width="16.46484375" style="79" customWidth="1"/>
    <col min="2" max="3" width="16.33203125" style="79" customWidth="1"/>
    <col min="4" max="4" width="19.33203125" style="79" customWidth="1"/>
    <col min="5" max="5" width="18.6640625" style="79" customWidth="1"/>
    <col min="6" max="16384" width="9" style="79"/>
  </cols>
  <sheetData>
    <row r="1" spans="1:5" x14ac:dyDescent="0.45">
      <c r="A1" s="75" t="s">
        <v>134</v>
      </c>
      <c r="B1" s="75" t="s">
        <v>133</v>
      </c>
      <c r="C1" s="75" t="s">
        <v>132</v>
      </c>
      <c r="D1" s="75" t="s">
        <v>131</v>
      </c>
      <c r="E1" s="75" t="s">
        <v>130</v>
      </c>
    </row>
    <row r="2" spans="1:5" x14ac:dyDescent="0.45">
      <c r="A2" s="75" t="s">
        <v>129</v>
      </c>
      <c r="B2" s="76">
        <v>43906</v>
      </c>
      <c r="C2" s="76">
        <f t="shared" ref="C2:C9" si="0">B2+4</f>
        <v>43910</v>
      </c>
      <c r="D2" s="75">
        <f t="shared" ref="D2:D9" si="1">5000 - E2</f>
        <v>5000</v>
      </c>
      <c r="E2" s="75">
        <f t="shared" ref="E2:E9" si="2">IF(MONTH(B2)&lt;&gt;MONTH(C2), DAY(C2),0)*1000</f>
        <v>0</v>
      </c>
    </row>
    <row r="3" spans="1:5" x14ac:dyDescent="0.45">
      <c r="A3" s="75" t="s">
        <v>128</v>
      </c>
      <c r="B3" s="76">
        <f t="shared" ref="B3:B9" si="3">B2+7</f>
        <v>43913</v>
      </c>
      <c r="C3" s="76">
        <f t="shared" si="0"/>
        <v>43917</v>
      </c>
      <c r="D3" s="75">
        <f t="shared" si="1"/>
        <v>5000</v>
      </c>
      <c r="E3" s="75">
        <f t="shared" si="2"/>
        <v>0</v>
      </c>
    </row>
    <row r="4" spans="1:5" x14ac:dyDescent="0.45">
      <c r="A4" s="75" t="s">
        <v>127</v>
      </c>
      <c r="B4" s="76">
        <f t="shared" si="3"/>
        <v>43920</v>
      </c>
      <c r="C4" s="76">
        <f t="shared" si="0"/>
        <v>43924</v>
      </c>
      <c r="D4" s="75">
        <f t="shared" si="1"/>
        <v>2000</v>
      </c>
      <c r="E4" s="75">
        <f t="shared" si="2"/>
        <v>3000</v>
      </c>
    </row>
    <row r="5" spans="1:5" x14ac:dyDescent="0.45">
      <c r="A5" s="75" t="s">
        <v>126</v>
      </c>
      <c r="B5" s="76">
        <f t="shared" si="3"/>
        <v>43927</v>
      </c>
      <c r="C5" s="76">
        <f t="shared" si="0"/>
        <v>43931</v>
      </c>
      <c r="D5" s="75">
        <f t="shared" si="1"/>
        <v>5000</v>
      </c>
      <c r="E5" s="75">
        <f t="shared" si="2"/>
        <v>0</v>
      </c>
    </row>
    <row r="6" spans="1:5" x14ac:dyDescent="0.45">
      <c r="A6" s="75" t="s">
        <v>125</v>
      </c>
      <c r="B6" s="76">
        <f t="shared" si="3"/>
        <v>43934</v>
      </c>
      <c r="C6" s="76">
        <f t="shared" si="0"/>
        <v>43938</v>
      </c>
      <c r="D6" s="75">
        <f t="shared" si="1"/>
        <v>5000</v>
      </c>
      <c r="E6" s="75">
        <f t="shared" si="2"/>
        <v>0</v>
      </c>
    </row>
    <row r="7" spans="1:5" x14ac:dyDescent="0.45">
      <c r="A7" s="75" t="s">
        <v>124</v>
      </c>
      <c r="B7" s="76">
        <f t="shared" si="3"/>
        <v>43941</v>
      </c>
      <c r="C7" s="76">
        <f t="shared" si="0"/>
        <v>43945</v>
      </c>
      <c r="D7" s="75">
        <f t="shared" si="1"/>
        <v>5000</v>
      </c>
      <c r="E7" s="75">
        <f t="shared" si="2"/>
        <v>0</v>
      </c>
    </row>
    <row r="8" spans="1:5" x14ac:dyDescent="0.45">
      <c r="A8" s="75" t="s">
        <v>123</v>
      </c>
      <c r="B8" s="76">
        <f t="shared" si="3"/>
        <v>43948</v>
      </c>
      <c r="C8" s="76">
        <f t="shared" si="0"/>
        <v>43952</v>
      </c>
      <c r="D8" s="75">
        <f t="shared" si="1"/>
        <v>4000</v>
      </c>
      <c r="E8" s="75">
        <f t="shared" si="2"/>
        <v>1000</v>
      </c>
    </row>
    <row r="9" spans="1:5" x14ac:dyDescent="0.45">
      <c r="A9" s="75" t="s">
        <v>122</v>
      </c>
      <c r="B9" s="76">
        <f t="shared" si="3"/>
        <v>43955</v>
      </c>
      <c r="C9" s="76">
        <f t="shared" si="0"/>
        <v>43959</v>
      </c>
      <c r="D9" s="75">
        <f t="shared" si="1"/>
        <v>5000</v>
      </c>
      <c r="E9" s="75">
        <f t="shared" si="2"/>
        <v>0</v>
      </c>
    </row>
    <row r="10" spans="1:5" x14ac:dyDescent="0.45">
      <c r="A10" s="95"/>
      <c r="E10" s="95"/>
    </row>
    <row r="11" spans="1:5" x14ac:dyDescent="0.45">
      <c r="A11" s="95"/>
      <c r="E11" s="9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8" r:id="rId3" name="CommandButton2">
          <controlPr defaultSize="0" autoLine="0" r:id="rId4">
            <anchor moveWithCells="1">
              <from>
                <xdr:col>5</xdr:col>
                <xdr:colOff>4763</xdr:colOff>
                <xdr:row>2</xdr:row>
                <xdr:rowOff>9525</xdr:rowOff>
              </from>
              <to>
                <xdr:col>7</xdr:col>
                <xdr:colOff>4763</xdr:colOff>
                <xdr:row>3</xdr:row>
                <xdr:rowOff>171450</xdr:rowOff>
              </to>
            </anchor>
          </controlPr>
        </control>
      </mc:Choice>
      <mc:Fallback>
        <control shapeId="19458" r:id="rId3" name="CommandButton2"/>
      </mc:Fallback>
    </mc:AlternateContent>
    <mc:AlternateContent xmlns:mc="http://schemas.openxmlformats.org/markup-compatibility/2006">
      <mc:Choice Requires="x14">
        <control shapeId="19457" r:id="rId5" name="CommandButton1">
          <controlPr defaultSize="0" autoLine="0" r:id="rId6">
            <anchor moveWithCells="1">
              <from>
                <xdr:col>5</xdr:col>
                <xdr:colOff>4763</xdr:colOff>
                <xdr:row>0</xdr:row>
                <xdr:rowOff>9525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9457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A=3</vt:lpstr>
      <vt:lpstr>Справочник(C=2)</vt:lpstr>
      <vt:lpstr>Расчёт стоимости</vt:lpstr>
      <vt:lpstr>Диаграмма</vt:lpstr>
      <vt:lpstr>Крепёж(D=3)</vt:lpstr>
      <vt:lpstr>Таблица 1(F=2)</vt:lpstr>
      <vt:lpstr>Таблица 2(F=2)</vt:lpstr>
      <vt:lpstr>Макрос(G=4)</vt:lpstr>
      <vt:lpstr>Макрос(G=4) (2)</vt:lpstr>
      <vt:lpstr>Макрос(G=4) (3)</vt:lpstr>
      <vt:lpstr>Макрос(G=4) (4)</vt:lpstr>
      <vt:lpstr>Макрос(G=4) (5)</vt:lpstr>
      <vt:lpstr>Макрос(G=4) (6)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nullnumber1</dc:creator>
  <cp:lastModifiedBy>nullnumber1</cp:lastModifiedBy>
  <dcterms:created xsi:type="dcterms:W3CDTF">2020-12-08T07:29:34Z</dcterms:created>
  <dcterms:modified xsi:type="dcterms:W3CDTF">2020-12-14T07:59:52Z</dcterms:modified>
</cp:coreProperties>
</file>